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f38c3e74e4f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napshot" sheetId="1" r:id="Rd327fb4a0f5949b6"/>
    <x:sheet xmlns:r="http://schemas.openxmlformats.org/officeDocument/2006/relationships" name="Method Summary" sheetId="2" r:id="Red1c313231e44724"/>
    <x:sheet xmlns:r="http://schemas.openxmlformats.org/officeDocument/2006/relationships" name="Dataset Matrix" sheetId="3" r:id="R9dd299ba7f2d4196"/>
    <x:sheet xmlns:r="http://schemas.openxmlformats.org/officeDocument/2006/relationships" name="Completed Jobs" sheetId="4" r:id="R4cdcbf0a15764cf4"/>
    <x:sheet xmlns:r="http://schemas.openxmlformats.org/officeDocument/2006/relationships" name="Run Plan" sheetId="5" r:id="Rabb8a91930624f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"/>
    <x:numFmt numFmtId="202" formatCode="#,##0.0"/>
    <x:numFmt numFmtId="203" formatCode="yyyy-mm-dd hh:mm:ss &quot;MSK&quot;"/>
    <x:numFmt numFmtId="204" formatCode="0.0%"/>
  </x:numFmts>
  <x:fonts count="8">
    <x:font>
      <x:sz val="11"/>
      <x:name val="Carlito"/>
    </x:font>
    <x:font>
      <x:b/>
      <x:sz val="10"/>
      <x:color rgb="FFFFFFFF"/>
      <x:name val="Aptos"/>
    </x:font>
    <x:font>
      <x:sz val="9"/>
      <x:name val="Aptos"/>
    </x:font>
    <x:font>
      <x:b/>
      <x:sz val="18"/>
      <x:color rgb="FFFFFFFF"/>
      <x:name val="Aptos Display"/>
    </x:font>
    <x:font>
      <x:i/>
      <x:sz val="10"/>
      <x:color rgb="FF687580"/>
      <x:name val="Carlito"/>
    </x:font>
    <x:font>
      <x:b/>
      <x:sz val="11"/>
      <x:color rgb="FF18324A"/>
      <x:name val="Carlito"/>
    </x:font>
    <x:font>
      <x:b/>
      <x:sz val="12"/>
      <x:color rgb="FFFFFFFF"/>
      <x:name val="Carlito"/>
    </x:font>
    <x:font>
      <x:sz val="9"/>
      <x:color rgb="FF18324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7D8D"/>
      </x:patternFill>
    </x:fill>
    <x:fill>
      <x:patternFill patternType="solid">
        <x:fgColor rgb="FFE4F3E8"/>
      </x:patternFill>
    </x:fill>
    <x:fill>
      <x:patternFill patternType="solid">
        <x:fgColor rgb="FFDCEFF1"/>
      </x:patternFill>
    </x:fill>
    <x:fill>
      <x:patternFill patternType="solid">
        <x:fgColor rgb="FFFFF1D6"/>
      </x:patternFill>
    </x:fill>
    <x:fill>
      <x:patternFill patternType="solid">
        <x:fgColor rgb="FFFCE4E4"/>
      </x:patternFill>
    </x:fill>
    <x:fill>
      <x:patternFill patternType="solid">
        <x:fgColor rgb="FFEAF1F7"/>
      </x:patternFill>
    </x:fill>
    <x:fill>
      <x:patternFill patternType="solid">
        <x:fgColor rgb="FF18324A"/>
      </x:patternFill>
    </x:fill>
  </x:fills>
  <x:borders count="6">
    <x:border/>
    <x:border>
      <x:bottom style="medium">
        <x:color rgb="FF18324A"/>
      </x:bottom>
    </x:border>
    <x:border>
      <x:bottom style="thin">
        <x:color rgb="FFE5E9ED"/>
      </x:bottom>
    </x:border>
    <x:border>
      <x:top style="thin">
        <x:color rgb="FFE5E9ED"/>
      </x:top>
      <x:bottom style="thin">
        <x:color rgb="FFE5E9ED"/>
      </x:bottom>
    </x:border>
    <x:border>
      <x:top style="thin">
        <x:color rgb="FFE5E9ED"/>
      </x:top>
    </x:border>
    <x:border>
      <x:top style="thin">
        <x:color rgb="FFE5E9ED"/>
      </x:top>
      <x:bottom style="medium">
        <x:color rgb="FF18324A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0" fontId="2" fillId="0" borderId="2" xfId="0" applyNumberFormat="1" applyFont="1" applyFill="1" applyBorder="1"/>
    <x:xf numFmtId="200" fontId="2" fillId="0" borderId="2" xfId="0" applyNumberFormat="1" applyFont="1" applyFill="1" applyBorder="1"/>
    <x:xf numFmtId="201" fontId="2" fillId="0" borderId="2" xfId="0" applyNumberFormat="1" applyFont="1" applyFill="1" applyBorder="1"/>
    <x:xf numFmtId="202" fontId="2" fillId="0" borderId="2" xfId="0" applyNumberFormat="1" applyFont="1" applyFill="1" applyBorder="1"/>
    <x:xf numFmtId="203" fontId="2" fillId="0" borderId="2" xfId="0" applyNumberFormat="1" applyFont="1" applyFill="1" applyBorder="1"/>
    <x:xf numFmtId="0" fontId="2" fillId="0" borderId="3" xfId="0" applyNumberFormat="1" applyFont="1" applyFill="1" applyBorder="1"/>
    <x:xf numFmtId="200" fontId="2" fillId="0" borderId="3" xfId="0" applyNumberFormat="1" applyFont="1" applyFill="1" applyBorder="1"/>
    <x:xf numFmtId="201" fontId="2" fillId="0" borderId="3" xfId="0" applyNumberFormat="1" applyFont="1" applyFill="1" applyBorder="1"/>
    <x:xf numFmtId="202" fontId="2" fillId="0" borderId="3" xfId="0" applyNumberFormat="1" applyFont="1" applyFill="1" applyBorder="1"/>
    <x:xf numFmtId="203" fontId="2" fillId="0" borderId="3" xfId="0" applyNumberFormat="1" applyFont="1" applyFill="1" applyBorder="1"/>
    <x:xf numFmtId="0" fontId="2" fillId="0" borderId="4" xfId="0" applyNumberFormat="1" applyFont="1" applyFill="1" applyBorder="1"/>
    <x:xf numFmtId="200" fontId="2" fillId="0" borderId="4" xfId="0" applyNumberFormat="1" applyFont="1" applyFill="1" applyBorder="1"/>
    <x:xf numFmtId="201" fontId="2" fillId="0" borderId="4" xfId="0" applyNumberFormat="1" applyFont="1" applyFill="1" applyBorder="1"/>
    <x:xf numFmtId="202" fontId="2" fillId="0" borderId="4" xfId="0" applyNumberFormat="1" applyFont="1" applyFill="1" applyBorder="1"/>
    <x:xf numFmtId="203" fontId="2" fillId="0" borderId="4" xfId="0" applyNumberFormat="1" applyFont="1" applyFill="1" applyBorder="1"/>
    <x:xf numFmtId="0" fontId="2" fillId="3" borderId="2" xfId="0" applyNumberFormat="1" applyFont="1" applyFill="1" applyBorder="1"/>
    <x:xf numFmtId="0" fontId="2" fillId="4" borderId="2" xfId="0" applyNumberFormat="1" applyFont="1" applyFill="1" applyBorder="1"/>
    <x:xf numFmtId="0" fontId="2" fillId="5" borderId="3" xfId="0" applyNumberFormat="1" applyFont="1" applyFill="1" applyBorder="1"/>
    <x:xf numFmtId="0" fontId="2" fillId="4" borderId="3" xfId="0" applyNumberFormat="1" applyFont="1" applyFill="1" applyBorder="1"/>
    <x:xf numFmtId="0" fontId="2" fillId="3" borderId="3" xfId="0" applyNumberFormat="1" applyFont="1" applyFill="1" applyBorder="1"/>
    <x:xf numFmtId="0" fontId="2" fillId="6" borderId="3" xfId="0" applyNumberFormat="1" applyFont="1" applyFill="1" applyBorder="1"/>
    <x:xf numFmtId="0" fontId="2" fillId="7" borderId="3" xfId="0" applyNumberFormat="1" applyFont="1" applyFill="1" applyBorder="1"/>
    <x:xf numFmtId="0" fontId="2" fillId="3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4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4" fontId="0" fillId="0" borderId="3" xfId="0" applyNumberFormat="1" applyFont="1" applyFill="1" applyBorder="1"/>
    <x:xf numFmtId="202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4" fontId="0" fillId="0" borderId="4" xfId="0" applyNumberFormat="1" applyFont="1" applyFill="1" applyBorder="1"/>
    <x:xf numFmtId="202" fontId="0" fillId="0" borderId="4" xfId="0" applyNumberFormat="1" applyFont="1" applyFill="1" applyBorder="1"/>
    <x:xf numFmtId="0" fontId="0" fillId="3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1" fillId="2" borderId="2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/>
    <x:xf numFmtId="0" fontId="1" fillId="2" borderId="3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/>
    <x:xf numFmtId="0" fontId="0" fillId="5" borderId="3" xfId="0" applyNumberFormat="1" applyFont="1" applyFill="1" applyBorder="1"/>
    <x:xf numFmtId="0" fontId="0" fillId="6" borderId="3" xfId="0" applyNumberFormat="1" applyFont="1" applyFill="1" applyBorder="1"/>
    <x:xf numFmtId="0" fontId="0" fillId="7" borderId="3" xfId="0" applyNumberFormat="1" applyFont="1" applyFill="1" applyBorder="1"/>
    <x:xf numFmtId="0" fontId="0" fillId="0" borderId="5" xfId="0" applyNumberFormat="1" applyFont="1" applyFill="1" applyBorder="1"/>
    <x:xf numFmtId="0" fontId="0" fillId="3" borderId="5" xfId="0" applyNumberFormat="1" applyFont="1" applyFill="1" applyBorder="1"/>
    <x:xf numFmtId="0" fontId="0" fillId="6" borderId="5" xfId="0" applyNumberFormat="1" applyFont="1" applyFill="1" applyBorder="1"/>
    <x:xf numFmtId="0" fontId="0" fillId="4" borderId="0" xfId="0" applyNumberFormat="1" applyFont="1" applyFill="1" applyBorder="1"/>
    <x:xf numFmtId="0" fontId="0" fillId="3" borderId="2" xfId="0" applyNumberFormat="1" applyFont="1" applyFill="1" applyBorder="1"/>
    <x:xf numFmtId="203" fontId="0" fillId="0" borderId="2" xfId="0" applyNumberFormat="1" applyFont="1" applyFill="1" applyBorder="1"/>
    <x:xf numFmtId="203" fontId="0" fillId="0" borderId="3" xfId="0" applyNumberFormat="1" applyFont="1" applyFill="1" applyBorder="1"/>
    <x:xf numFmtId="0" fontId="0" fillId="4" borderId="3" xfId="0" applyNumberFormat="1" applyFont="1" applyFill="1" applyBorder="1"/>
    <x:xf numFmtId="0" fontId="0" fillId="7" borderId="4" xfId="0" applyNumberFormat="1" applyFont="1" applyFill="1" applyBorder="1"/>
    <x:xf numFmtId="203" fontId="0" fillId="0" borderId="4" xfId="0" applyNumberFormat="1" applyFont="1" applyFill="1" applyBorder="1"/>
    <x:xf numFmtId="0" fontId="2" fillId="7" borderId="4" xfId="0" applyNumberFormat="1" applyFont="1" applyFill="1" applyBorder="1"/>
    <x:xf numFmtId="0" fontId="5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f55706bc3c42c2" /><Relationship Type="http://schemas.openxmlformats.org/officeDocument/2006/relationships/theme" Target="/xl/theme/theme1.xml" Id="Rbe153d637be64304" /><Relationship Type="http://schemas.openxmlformats.org/officeDocument/2006/relationships/sharedStrings" Target="/xl/sharedStrings.xml" Id="Rf3a51985f4194f19" /><Relationship Type="http://schemas.openxmlformats.org/officeDocument/2006/relationships/worksheet" Target="/xl/worksheets/sheet1.xml" Id="Rd327fb4a0f5949b6" /><Relationship Type="http://schemas.openxmlformats.org/officeDocument/2006/relationships/worksheet" Target="/xl/worksheets/sheet2.xml" Id="Red1c313231e44724" /><Relationship Type="http://schemas.openxmlformats.org/officeDocument/2006/relationships/worksheet" Target="/xl/worksheets/sheet3.xml" Id="R9dd299ba7f2d4196" /><Relationship Type="http://schemas.openxmlformats.org/officeDocument/2006/relationships/worksheet" Target="/xl/worksheets/sheet4.xml" Id="R4cdcbf0a15764cf4" /><Relationship Type="http://schemas.openxmlformats.org/officeDocument/2006/relationships/worksheet" Target="/xl/worksheets/sheet5.xml" Id="Rabb8a91930624f15" /></Relationships>
</file>

<file path=xl/tables/table1.xml><?xml version="1.0" encoding="utf-8"?>
<x:table xmlns:x="http://schemas.openxmlformats.org/spreadsheetml/2006/main" id="2" name="MethodSummaryTable" displayName="MethodSummaryTable" ref="A4:O13" headerRowCount="1" totalsRowCount="0" totalsRowShown="0">
  <x:autoFilter ref="A4:O13"/>
  <x:tableColumns count="15">
    <x:tableColumn id="1" name="Method"/>
    <x:tableColumn id="2" name="Declared datasets"/>
    <x:tableColumn id="3" name="Jobs OK"/>
    <x:tableColumn id="4" name="Success rate"/>
    <x:tableColumn id="5" name="Mean macro target F1"/>
    <x:tableColumn id="6" name="Mean discovery rate"/>
    <x:tableColumn id="7" name="Mean target purity"/>
    <x:tableColumn id="8" name="Mean target coverage"/>
    <x:tableColumn id="9" name="Mean pairwise F1"/>
    <x:tableColumn id="10" name="Mean predicted clusters"/>
    <x:tableColumn id="11" name="Mean runtime, s (OK)"/>
    <x:tableColumn id="12" name="Mean peak RSS, MB (OK)"/>
    <x:tableColumn id="13" name="Non-OK"/>
    <x:tableColumn id="14" name="Timeouts"/>
    <x:tableColumn id="15" name="F1 ran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ompletedJobsTable" displayName="CompletedJobsTable" ref="A1:T92" headerRowCount="1" totalsRowCount="0" totalsRowShown="0">
  <x:autoFilter ref="A1:T92"/>
  <x:tableColumns count="20">
    <x:tableColumn id="1" name="Dataset"/>
    <x:tableColumn id="2" name="Method"/>
    <x:tableColumn id="3" name="Status"/>
    <x:tableColumn id="4" name="n"/>
    <x:tableColumn id="5" name="Dimension"/>
    <x:tableColumn id="6" name="Macro target F1"/>
    <x:tableColumn id="7" name="Target discovery rate"/>
    <x:tableColumn id="8" name="Macro target purity"/>
    <x:tableColumn id="9" name="Macro target coverage"/>
    <x:tableColumn id="10" name="Pairwise F1"/>
    <x:tableColumn id="11" name="Predicted clusters"/>
    <x:tableColumn id="12" name="Target count"/>
    <x:tableColumn id="13" name="Background abstention F1 (diagnostic)"/>
    <x:tableColumn id="14" name="Runtime seconds"/>
    <x:tableColumn id="15" name="Peak RSS MB"/>
    <x:tableColumn id="16" name="Error type"/>
    <x:tableColumn id="17" name="Error message"/>
    <x:tableColumn id="18" name="Balanced comparison set (1=yes)"/>
    <x:tableColumn id="19" name="Job ID"/>
    <x:tableColumn id="20" name="Completed 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nPlanTable" displayName="RunPlanTable" ref="A4:F121" headerRowCount="1" totalsRowCount="0" totalsRowShown="0">
  <x:autoFilter ref="A4:F121"/>
  <x:tableColumns count="6">
    <x:tableColumn id="1" name="Order"/>
    <x:tableColumn id="2" name="Dataset"/>
    <x:tableColumn id="3" name="Method"/>
    <x:tableColumn id="4" name="State"/>
    <x:tableColumn id="5" name="Job ID"/>
    <x:tableColumn id="6" name="Result written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4a04200cdf41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8143f84e3ff46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fb7680b64624c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3.25" hidden="0" customWidth="1"/>
    <x:col min="3" max="3" width="13.25" hidden="0" customWidth="1"/>
    <x:col min="4" max="4" width="13.25" hidden="0" customWidth="1"/>
    <x:col min="5" max="5" width="13.25" hidden="0" customWidth="1"/>
    <x:col min="6" max="6" width="13.25" hidden="0" customWidth="1"/>
    <x:col min="7" max="7" width="14.75" hidden="0" customWidth="1"/>
  </x:cols>
  <x:sheetData>
    <x:row r="1" ht="34" customHeight="1">
      <x:c r="A1" s="43" t="str">
        <x:v>StrataSCAN cytometry relaunch — current results</x:v>
      </x:c>
      <x:c r="B1" s="43" t="str">
        <x:v>StrataSCAN cytometry relaunch — current results</x:v>
      </x:c>
      <x:c r="C1" s="43" t="str">
        <x:v>StrataSCAN cytometry relaunch — current results</x:v>
      </x:c>
      <x:c r="D1" s="43" t="str">
        <x:v>StrataSCAN cytometry relaunch — current results</x:v>
      </x:c>
      <x:c r="E1" s="43" t="str">
        <x:v>StrataSCAN cytometry relaunch — current results</x:v>
      </x:c>
      <x:c r="F1" s="43" t="str">
        <x:v>StrataSCAN cytometry relaunch — current results</x:v>
      </x:c>
      <x:c r="G1" s="43" t="str">
        <x:v>StrataSCAN cytometry relaunch — current results</x:v>
      </x:c>
    </x:row>
    <x:row r="2">
      <x:c r="A2" s="44" t="str">
        <x:v>Live local snapshot. Not a canonical evidence freeze; rerun this workbook after the campaign finishes.</x:v>
      </x:c>
      <x:c r="B2" s="44" t="str">
        <x:v>Live local snapshot. Not a canonical evidence freeze; rerun this workbook after the campaign finishes.</x:v>
      </x:c>
      <x:c r="C2" s="44" t="str">
        <x:v>Live local snapshot. Not a canonical evidence freeze; rerun this workbook after the campaign finishes.</x:v>
      </x:c>
      <x:c r="D2" s="44" t="str">
        <x:v>Live local snapshot. Not a canonical evidence freeze; rerun this workbook after the campaign finishes.</x:v>
      </x:c>
      <x:c r="E2" s="44" t="str">
        <x:v>Live local snapshot. Not a canonical evidence freeze; rerun this workbook after the campaign finishes.</x:v>
      </x:c>
      <x:c r="F2" s="44" t="str">
        <x:v>Live local snapshot. Not a canonical evidence freeze; rerun this workbook after the campaign finishes.</x:v>
      </x:c>
      <x:c r="G2" s="44" t="str">
        <x:v>Live local snapshot. Not a canonical evidence freeze; rerun this workbook after the campaign finishes.</x:v>
      </x:c>
    </x:row>
    <x:row r="4">
      <x:c r="A4" s="84" t="str">
        <x:v>Snapshot time</x:v>
      </x:c>
      <x:c r="B4" s="74" t="n">
        <x:v>46251.00220756944</x:v>
      </x:c>
      <x:c r="C4" s="74" t="n">
        <x:v>46251.00220756944</x:v>
      </x:c>
      <x:c r="D4" s="74" t="n">
        <x:v>46251.00220756944</x:v>
      </x:c>
      <x:c r="E4" s="74" t="n">
        <x:v>46251.00220756944</x:v>
      </x:c>
      <x:c r="F4" s="74" t="n">
        <x:v>46251.00220756944</x:v>
      </x:c>
      <x:c r="G4" s="74" t="n">
        <x:v>46251.00220756944</x:v>
      </x:c>
    </x:row>
    <x:row r="5">
      <x:c r="A5" s="85" t="str">
        <x:v>Expected jobs</x:v>
      </x:c>
      <x:c r="B5" s="50" t="n">
        <x:v>117</x:v>
      </x:c>
      <x:c r="C5" s="50" t="n">
        <x:v>117</x:v>
      </x:c>
      <x:c r="D5" s="50" t="n">
        <x:v>117</x:v>
      </x:c>
      <x:c r="E5" s="50" t="n">
        <x:v>117</x:v>
      </x:c>
      <x:c r="F5" s="50" t="n">
        <x:v>117</x:v>
      </x:c>
      <x:c r="G5" s="50" t="n">
        <x:v>117</x:v>
      </x:c>
    </x:row>
    <x:row r="6">
      <x:c r="A6" s="85" t="str">
        <x:v>Result files written</x:v>
      </x:c>
      <x:c r="B6" s="50" t="n">
        <x:f>COUNTA('Completed Jobs'!$S$2:$S$92)</x:f>
        <x:v>91</x:v>
      </x:c>
      <x:c r="C6" s="50"/>
      <x:c r="D6" s="50"/>
      <x:c r="E6" s="50"/>
      <x:c r="F6" s="50"/>
      <x:c r="G6" s="50"/>
    </x:row>
    <x:row r="7">
      <x:c r="A7" s="85" t="str">
        <x:v>Completion</x:v>
      </x:c>
      <x:c r="B7" s="52" t="n">
        <x:f>B6/B5</x:f>
        <x:v>0.7777777777777778</x:v>
      </x:c>
      <x:c r="C7" s="52"/>
      <x:c r="D7" s="52"/>
      <x:c r="E7" s="52"/>
      <x:c r="F7" s="52"/>
      <x:c r="G7" s="52"/>
    </x:row>
    <x:row r="8">
      <x:c r="A8" s="85" t="str">
        <x:v>Fully comparable datasets</x:v>
      </x:c>
      <x:c r="B8" s="50" t="n">
        <x:v>10</x:v>
      </x:c>
      <x:c r="C8" s="50" t="n">
        <x:v>10</x:v>
      </x:c>
      <x:c r="D8" s="50" t="n">
        <x:v>10</x:v>
      </x:c>
      <x:c r="E8" s="50" t="n">
        <x:v>10</x:v>
      </x:c>
      <x:c r="F8" s="50" t="n">
        <x:v>10</x:v>
      </x:c>
      <x:c r="G8" s="50" t="n">
        <x:v>10</x:v>
      </x:c>
    </x:row>
    <x:row r="9">
      <x:c r="A9" s="85" t="str">
        <x:v>First unwritten job</x:v>
      </x:c>
      <x:c r="B9" s="50" t="str">
        <x:v>Samusik 08 / HDBSCAN</x:v>
      </x:c>
      <x:c r="C9" s="50" t="str">
        <x:v>Samusik 08 / HDBSCAN</x:v>
      </x:c>
      <x:c r="D9" s="50" t="str">
        <x:v>Samusik 08 / HDBSCAN</x:v>
      </x:c>
      <x:c r="E9" s="50" t="str">
        <x:v>Samusik 08 / HDBSCAN</x:v>
      </x:c>
      <x:c r="F9" s="50" t="str">
        <x:v>Samusik 08 / HDBSCAN</x:v>
      </x:c>
      <x:c r="G9" s="50" t="str">
        <x:v>Samusik 08 / HDBSCAN</x:v>
      </x:c>
    </x:row>
    <x:row r="10" ht="34" customHeight="1">
      <x:c r="A10" s="86" t="str">
        <x:v>Balanced dataset set</x:v>
      </x:c>
      <x:c r="B10" s="87" t="str">
        <x:v>Levine, Mosmann, Nilsson, Samusik 01, Samusik 02, Samusik 03, Samusik 04, Samusik 05, Samusik 06, Samusik 07</x:v>
      </x:c>
      <x:c r="C10" s="87" t="str">
        <x:v>Levine, Mosmann, Nilsson, Samusik 01, Samusik 02, Samusik 03, Samusik 04, Samusik 05, Samusik 06, Samusik 07</x:v>
      </x:c>
      <x:c r="D10" s="87" t="str">
        <x:v>Levine, Mosmann, Nilsson, Samusik 01, Samusik 02, Samusik 03, Samusik 04, Samusik 05, Samusik 06, Samusik 07</x:v>
      </x:c>
      <x:c r="E10" s="87" t="str">
        <x:v>Levine, Mosmann, Nilsson, Samusik 01, Samusik 02, Samusik 03, Samusik 04, Samusik 05, Samusik 06, Samusik 07</x:v>
      </x:c>
      <x:c r="F10" s="87" t="str">
        <x:v>Levine, Mosmann, Nilsson, Samusik 01, Samusik 02, Samusik 03, Samusik 04, Samusik 05, Samusik 06, Samusik 07</x:v>
      </x:c>
      <x:c r="G10" s="87" t="str">
        <x:v>Levine, Mosmann, Nilsson, Samusik 01, Samusik 02, Samusik 03, Samusik 04, Samusik 05, Samusik 06, Samusik 07</x:v>
      </x:c>
    </x:row>
    <x:row r="12">
      <x:c r="A12" s="88" t="str">
        <x:v>Headline balanced comparison</x:v>
      </x:c>
      <x:c r="B12" s="88" t="str">
        <x:v>Headline balanced comparison</x:v>
      </x:c>
      <x:c r="C12" s="88" t="str">
        <x:v>Headline balanced comparison</x:v>
      </x:c>
      <x:c r="D12" s="88" t="str">
        <x:v>Headline balanced comparison</x:v>
      </x:c>
      <x:c r="E12" s="88" t="str">
        <x:v>Headline balanced comparison</x:v>
      </x:c>
      <x:c r="F12" s="88" t="str">
        <x:v>Headline balanced comparison</x:v>
      </x:c>
      <x:c r="G12" s="88" t="str">
        <x:v>Headline balanced comparison</x:v>
      </x:c>
    </x:row>
    <x:row r="13">
      <x:c r="A13" s="5" t="str">
        <x:v>Method</x:v>
      </x:c>
      <x:c r="B13" s="5" t="str">
        <x:v>Success</x:v>
      </x:c>
      <x:c r="C13" s="5" t="str">
        <x:v>Macro target F1</x:v>
      </x:c>
      <x:c r="D13" s="5" t="str">
        <x:v>Discovery rate</x:v>
      </x:c>
      <x:c r="E13" s="5" t="str">
        <x:v>Target purity</x:v>
      </x:c>
      <x:c r="F13" s="5" t="str">
        <x:v>Target coverage</x:v>
      </x:c>
      <x:c r="G13" s="5" t="str">
        <x:v>Runtime, s (OK)</x:v>
      </x:c>
    </x:row>
    <x:row r="14">
      <x:c r="A14" s="46" t="str">
        <x:f>'Method Summary'!A5</x:f>
        <x:v>DBSCAN</x:v>
      </x:c>
      <x:c r="B14" s="48" t="n">
        <x:f>'Method Summary'!D5</x:f>
        <x:v>1</x:v>
      </x:c>
      <x:c r="C14" s="48" t="n">
        <x:f>'Method Summary'!E5</x:f>
        <x:v>0.01019038415923305</x:v>
      </x:c>
      <x:c r="D14" s="48" t="n">
        <x:f>'Method Summary'!F5</x:f>
        <x:v>0</x:v>
      </x:c>
      <x:c r="E14" s="48" t="n">
        <x:f>'Method Summary'!G5</x:f>
        <x:v>0.1091143476844952</x:v>
      </x:c>
      <x:c r="F14" s="48" t="n">
        <x:f>'Method Summary'!H5</x:f>
        <x:v>0.008830173398973263</x:v>
      </x:c>
      <x:c r="G14" s="49" t="n">
        <x:f>'Method Summary'!K5</x:f>
        <x:v>106.82626525000032</x:v>
      </x:c>
    </x:row>
    <x:row r="15">
      <x:c r="A15" s="50" t="str">
        <x:f>'Method Summary'!A6</x:f>
        <x:v>HDBSCAN</x:v>
      </x:c>
      <x:c r="B15" s="52" t="n">
        <x:f>'Method Summary'!D6</x:f>
        <x:v>0.8</x:v>
      </x:c>
      <x:c r="C15" s="52" t="n">
        <x:f>'Method Summary'!E6</x:f>
        <x:v>0.03331933320552626</x:v>
      </x:c>
      <x:c r="D15" s="52" t="n">
        <x:f>'Method Summary'!F6</x:f>
        <x:v>0</x:v>
      </x:c>
      <x:c r="E15" s="52" t="n">
        <x:f>'Method Summary'!G6</x:f>
        <x:v>0.026892382973347846</x:v>
      </x:c>
      <x:c r="F15" s="52" t="n">
        <x:f>'Method Summary'!H6</x:f>
        <x:v>0.13232473699414937</x:v>
      </x:c>
      <x:c r="G15" s="53" t="n">
        <x:f>'Method Summary'!K6</x:f>
        <x:v>980.50723535</x:v>
      </x:c>
    </x:row>
    <x:row r="16">
      <x:c r="A16" s="50" t="str">
        <x:f>'Method Summary'!A7</x:f>
        <x:v>OPTICS</x:v>
      </x:c>
      <x:c r="B16" s="52" t="n">
        <x:f>'Method Summary'!D7</x:f>
        <x:v>1</x:v>
      </x:c>
      <x:c r="C16" s="52" t="n">
        <x:f>'Method Summary'!E7</x:f>
        <x:v>0.003957909125031451</x:v>
      </x:c>
      <x:c r="D16" s="52" t="n">
        <x:f>'Method Summary'!F7</x:f>
        <x:v>0</x:v>
      </x:c>
      <x:c r="E16" s="52" t="n">
        <x:f>'Method Summary'!G7</x:f>
        <x:v>0.07430319763713364</x:v>
      </x:c>
      <x:c r="F16" s="52" t="n">
        <x:f>'Method Summary'!H7</x:f>
        <x:v>0.0034836909450350097</x:v>
      </x:c>
      <x:c r="G16" s="53" t="n">
        <x:f>'Method Summary'!K7</x:f>
        <x:v>332.0769485800003</x:v>
      </x:c>
    </x:row>
    <x:row r="17">
      <x:c r="A17" s="50" t="str">
        <x:f>'Method Summary'!A8</x:f>
        <x:v>SNN-DBSCAN</x:v>
      </x:c>
      <x:c r="B17" s="52" t="n">
        <x:f>'Method Summary'!D8</x:f>
        <x:v>1</x:v>
      </x:c>
      <x:c r="C17" s="52" t="n">
        <x:f>'Method Summary'!E8</x:f>
        <x:v>0.06664330277900787</x:v>
      </x:c>
      <x:c r="D17" s="52" t="n">
        <x:f>'Method Summary'!F8</x:f>
        <x:v>0.11250000000000002</x:v>
      </x:c>
      <x:c r="E17" s="52" t="n">
        <x:f>'Method Summary'!G8</x:f>
        <x:v>0.3959733533121757</x:v>
      </x:c>
      <x:c r="F17" s="52" t="n">
        <x:f>'Method Summary'!H8</x:f>
        <x:v>0.0438660174973541</x:v>
      </x:c>
      <x:c r="G17" s="53" t="n">
        <x:f>'Method Summary'!K8</x:f>
        <x:v>23.548999919999734</x:v>
      </x:c>
    </x:row>
    <x:row r="18">
      <x:c r="A18" s="50" t="str">
        <x:f>'Method Summary'!A9</x:f>
        <x:v>VDBSCAN-2007</x:v>
      </x:c>
      <x:c r="B18" s="52" t="n">
        <x:f>'Method Summary'!D9</x:f>
        <x:v>0.9</x:v>
      </x:c>
      <x:c r="C18" s="52" t="n">
        <x:f>'Method Summary'!E9</x:f>
        <x:v>0.030864849366937328</x:v>
      </x:c>
      <x:c r="D18" s="52" t="n">
        <x:f>'Method Summary'!F9</x:f>
        <x:v>0</x:v>
      </x:c>
      <x:c r="E18" s="52" t="n">
        <x:f>'Method Summary'!G9</x:f>
        <x:v>0.10427424377474519</x:v>
      </x:c>
      <x:c r="F18" s="52" t="n">
        <x:f>'Method Summary'!H9</x:f>
        <x:v>0.17151158750472623</x:v>
      </x:c>
      <x:c r="G18" s="53" t="n">
        <x:f>'Method Summary'!K9</x:f>
        <x:v>189.89015471111028</x:v>
      </x:c>
    </x:row>
    <x:row r="19">
      <x:c r="A19" s="50" t="str">
        <x:f>'Method Summary'!A10</x:f>
        <x:v>AMD-DBSCAN</x:v>
      </x:c>
      <x:c r="B19" s="52" t="n">
        <x:f>'Method Summary'!D10</x:f>
        <x:v>0</x:v>
      </x:c>
      <x:c r="C19" s="52" t="str">
        <x:f>'Method Summary'!E10</x:f>
      </x:c>
      <x:c r="D19" s="52" t="str">
        <x:f>'Method Summary'!F10</x:f>
      </x:c>
      <x:c r="E19" s="52" t="str">
        <x:f>'Method Summary'!G10</x:f>
      </x:c>
      <x:c r="F19" s="52" t="str">
        <x:f>'Method Summary'!H10</x:f>
      </x:c>
      <x:c r="G19" s="53" t="str">
        <x:f>'Method Summary'!K10</x:f>
      </x:c>
    </x:row>
    <x:row r="20">
      <x:c r="A20" s="50" t="str">
        <x:f>'Method Summary'!A11</x:f>
        <x:v>kNN-DBSCAN</x:v>
      </x:c>
      <x:c r="B20" s="52" t="n">
        <x:f>'Method Summary'!D11</x:f>
        <x:v>1</x:v>
      </x:c>
      <x:c r="C20" s="52" t="n">
        <x:f>'Method Summary'!E11</x:f>
        <x:v>0.009884813618329545</x:v>
      </x:c>
      <x:c r="D20" s="52" t="n">
        <x:f>'Method Summary'!F11</x:f>
        <x:v>0</x:v>
      </x:c>
      <x:c r="E20" s="52" t="n">
        <x:f>'Method Summary'!G11</x:f>
        <x:v>0.1097801272481812</x:v>
      </x:c>
      <x:c r="F20" s="52" t="n">
        <x:f>'Method Summary'!H11</x:f>
        <x:v>0.00861064724612143</x:v>
      </x:c>
      <x:c r="G20" s="53" t="n">
        <x:f>'Method Summary'!K11</x:f>
        <x:v>22.222256979998566</x:v>
      </x:c>
    </x:row>
    <x:row r="21">
      <x:c r="A21" s="50" t="str">
        <x:f>'Method Summary'!A12</x:f>
        <x:v>kNN+Leiden</x:v>
      </x:c>
      <x:c r="B21" s="52" t="n">
        <x:f>'Method Summary'!D12</x:f>
        <x:v>0.8</x:v>
      </x:c>
      <x:c r="C21" s="52" t="n">
        <x:f>'Method Summary'!E12</x:f>
        <x:v>0.27794444782801625</x:v>
      </x:c>
      <x:c r="D21" s="52" t="n">
        <x:f>'Method Summary'!F12</x:f>
        <x:v>0</x:v>
      </x:c>
      <x:c r="E21" s="52" t="n">
        <x:f>'Method Summary'!G12</x:f>
        <x:v>0.21697330718161606</x:v>
      </x:c>
      <x:c r="F21" s="52" t="n">
        <x:f>'Method Summary'!H12</x:f>
        <x:v>0.5392312781940388</x:v>
      </x:c>
      <x:c r="G21" s="53" t="n">
        <x:f>'Method Summary'!K12</x:f>
        <x:v>58.64270367499921</x:v>
      </x:c>
    </x:row>
    <x:row r="22">
      <x:c r="A22" s="54" t="str">
        <x:f>'Method Summary'!A13</x:f>
        <x:v>StrataSCAN</x:v>
      </x:c>
      <x:c r="B22" s="56" t="n">
        <x:f>'Method Summary'!D13</x:f>
        <x:v>1</x:v>
      </x:c>
      <x:c r="C22" s="56" t="n">
        <x:f>'Method Summary'!E13</x:f>
        <x:v>0.18481969351696112</x:v>
      </x:c>
      <x:c r="D22" s="56" t="n">
        <x:f>'Method Summary'!F13</x:f>
        <x:v>0.029166666666666667</x:v>
      </x:c>
      <x:c r="E22" s="56" t="n">
        <x:f>'Method Summary'!G13</x:f>
        <x:v>0.3216183214293634</x:v>
      </x:c>
      <x:c r="F22" s="56" t="n">
        <x:f>'Method Summary'!H13</x:f>
        <x:v>0.3026528517344361</x:v>
      </x:c>
      <x:c r="G22" s="57" t="n">
        <x:f>'Method Summary'!K13</x:f>
        <x:v>85.602127070001</x:v>
      </x:c>
    </x:row>
    <x:row r="24">
      <x:c r="A24" s="88" t="str">
        <x:v>Interpretation and provenance</x:v>
      </x:c>
      <x:c r="B24" s="88" t="str">
        <x:v>Interpretation and provenance</x:v>
      </x:c>
      <x:c r="C24" s="88" t="str">
        <x:v>Interpretation and provenance</x:v>
      </x:c>
      <x:c r="D24" s="88" t="str">
        <x:v>Interpretation and provenance</x:v>
      </x:c>
      <x:c r="E24" s="88" t="str">
        <x:v>Interpretation and provenance</x:v>
      </x:c>
      <x:c r="F24" s="88" t="str">
        <x:v>Interpretation and provenance</x:v>
      </x:c>
      <x:c r="G24" s="88" t="str">
        <x:v>Interpretation and provenance</x:v>
      </x:c>
    </x:row>
    <x:row r="25" ht="28" customHeight="1">
      <x:c r="A25" s="90" t="str">
        <x:v>Fair method comparison uses only datasets for which all nine methods have written a terminal result.</x:v>
      </x:c>
      <x:c r="B25" s="90"/>
      <x:c r="C25" s="90"/>
      <x:c r="D25" s="90"/>
      <x:c r="E25" s="90"/>
      <x:c r="F25" s="90"/>
      <x:c r="G25" s="90"/>
    </x:row>
    <x:row r="26" ht="28" customHeight="1">
      <x:c r="A26" s="90" t="str">
        <x:v>Quality and resource means are successful-only; error and timeout counts remain visible in the denominator.</x:v>
      </x:c>
      <x:c r="B26" s="90"/>
      <x:c r="C26" s="90"/>
      <x:c r="D26" s="90"/>
      <x:c r="E26" s="90"/>
      <x:c r="F26" s="90"/>
      <x:c r="G26" s="90"/>
    </x:row>
    <x:row r="27" ht="28" customHeight="1">
      <x:c r="A27" s="90" t="str">
        <x:v>Evaluation: target-discovery-v1, Hungarian one-to-one matching, purity ≥ 0.90 and coverage ≥ 0.10.</x:v>
      </x:c>
      <x:c r="B27" s="90"/>
      <x:c r="C27" s="90"/>
      <x:c r="D27" s="90"/>
      <x:c r="E27" s="90"/>
      <x:c r="F27" s="90"/>
      <x:c r="G27" s="90"/>
    </x:row>
    <x:row r="28" ht="28" customHeight="1">
      <x:c r="A28" s="90" t="str">
        <x:v>Biological-background abstention metrics are diagnostic and must not be described as physical-noise accuracy.</x:v>
      </x:c>
      <x:c r="B28" s="90"/>
      <x:c r="C28" s="90"/>
      <x:c r="D28" s="90"/>
      <x:c r="E28" s="90"/>
      <x:c r="F28" s="90"/>
      <x:c r="G28" s="90"/>
    </x:row>
    <x:row r="29" ht="28" customHeight="1">
      <x:c r="A29" s="90" t="str">
        <x:v>Source: results/runs/v0.2.4-target-discovery-v1-cytometry/{manifest.json,jobs/*.json}.</x:v>
      </x:c>
      <x:c r="B29" s="90"/>
      <x:c r="C29" s="90"/>
      <x:c r="D29" s="90"/>
      <x:c r="E29" s="90"/>
      <x:c r="F29" s="90"/>
      <x:c r="G29" s="90"/>
    </x:row>
  </x:sheetData>
  <x:mergeCells>
    <x:mergeCell ref="A1:G1"/>
    <x:mergeCell ref="A2:G2"/>
    <x:mergeCell ref="B4:G4"/>
    <x:mergeCell ref="B5:G5"/>
    <x:mergeCell ref="B6:G6"/>
    <x:mergeCell ref="B7:G7"/>
    <x:mergeCell ref="B8:G8"/>
    <x:mergeCell ref="B9:G9"/>
    <x:mergeCell ref="B10:G10"/>
    <x:mergeCell ref="A12:G12"/>
    <x:mergeCell ref="A24:G24"/>
    <x:mergeCell ref="A25:G25"/>
    <x:mergeCell ref="A26:G26"/>
    <x:mergeCell ref="A27:G27"/>
    <x:mergeCell ref="A28:G28"/>
    <x:mergeCell ref="A29:G29"/>
  </x:mergeCells>
  <x:conditionalFormatting sqref="B14:B22">
    <x:cfRule type="colorScale" priority="1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conditionalFormatting sqref="C14:C22">
    <x:cfRule type="colorScale" priority="2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conditionalFormatting sqref="D14:D22">
    <x:cfRule type="colorScale" priority="3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conditionalFormatting sqref="E14:E22">
    <x:cfRule type="colorScale" priority="4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conditionalFormatting sqref="F14:F22">
    <x:cfRule type="colorScale" priority="5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.5" hidden="0" customWidth="1"/>
    <x:col min="3" max="3" width="11.5" hidden="0" customWidth="1"/>
    <x:col min="4" max="4" width="12.25" hidden="0" customWidth="1"/>
    <x:col min="5" max="5" width="12.25" hidden="0" customWidth="1"/>
    <x:col min="6" max="6" width="12.25" hidden="0" customWidth="1"/>
    <x:col min="7" max="7" width="12.25" hidden="0" customWidth="1"/>
    <x:col min="8" max="8" width="12.25" hidden="0" customWidth="1"/>
    <x:col min="9" max="9" width="12.25" hidden="0" customWidth="1"/>
    <x:col min="10" max="10" width="13.5" hidden="0" customWidth="1"/>
    <x:col min="11" max="11" width="13" hidden="0" customWidth="1"/>
    <x:col min="12" max="12" width="13" hidden="0" customWidth="1"/>
    <x:col min="13" max="13" width="8.75" hidden="0" customWidth="1"/>
    <x:col min="14" max="14" width="8.75" hidden="0" customWidth="1"/>
    <x:col min="15" max="15" width="8.75" hidden="0" customWidth="1"/>
  </x:cols>
  <x:sheetData>
    <x:row r="1" ht="34" customHeight="1">
      <x:c r="A1" s="43" t="str">
        <x:v>Balanced method comparison</x:v>
      </x:c>
      <x:c r="B1" s="43" t="str">
        <x:v>Balanced method comparison</x:v>
      </x:c>
      <x:c r="C1" s="43" t="str">
        <x:v>Balanced method comparison</x:v>
      </x:c>
      <x:c r="D1" s="43" t="str">
        <x:v>Balanced method comparison</x:v>
      </x:c>
      <x:c r="E1" s="43" t="str">
        <x:v>Balanced method comparison</x:v>
      </x:c>
      <x:c r="F1" s="43" t="str">
        <x:v>Balanced method comparison</x:v>
      </x:c>
      <x:c r="G1" s="43" t="str">
        <x:v>Balanced method comparison</x:v>
      </x:c>
      <x:c r="H1" s="43" t="str">
        <x:v>Balanced method comparison</x:v>
      </x:c>
      <x:c r="I1" s="43" t="str">
        <x:v>Balanced method comparison</x:v>
      </x:c>
      <x:c r="J1" s="43" t="str">
        <x:v>Balanced method comparison</x:v>
      </x:c>
      <x:c r="K1" s="43" t="str">
        <x:v>Balanced method comparison</x:v>
      </x:c>
      <x:c r="L1" s="43" t="str">
        <x:v>Balanced method comparison</x:v>
      </x:c>
      <x:c r="M1" s="43" t="str">
        <x:v>Balanced method comparison</x:v>
      </x:c>
      <x:c r="N1" s="43" t="str">
        <x:v>Balanced method comparison</x:v>
      </x:c>
      <x:c r="O1" s="43" t="str">
        <x:v>Balanced method comparison</x:v>
      </x:c>
    </x:row>
    <x:row r="2">
      <x:c r="A2" s="44" t="str">
        <x:v>Successful-only quality/resource means across 10 fully completed datasets; failed executions remain in the success denominator.</x:v>
      </x:c>
      <x:c r="B2" s="44" t="str">
        <x:v>Successful-only quality/resource means across 10 fully completed datasets; failed executions remain in the success denominator.</x:v>
      </x:c>
      <x:c r="C2" s="44" t="str">
        <x:v>Successful-only quality/resource means across 10 fully completed datasets; failed executions remain in the success denominator.</x:v>
      </x:c>
      <x:c r="D2" s="44" t="str">
        <x:v>Successful-only quality/resource means across 10 fully completed datasets; failed executions remain in the success denominator.</x:v>
      </x:c>
      <x:c r="E2" s="44" t="str">
        <x:v>Successful-only quality/resource means across 10 fully completed datasets; failed executions remain in the success denominator.</x:v>
      </x:c>
      <x:c r="F2" s="44" t="str">
        <x:v>Successful-only quality/resource means across 10 fully completed datasets; failed executions remain in the success denominator.</x:v>
      </x:c>
      <x:c r="G2" s="44" t="str">
        <x:v>Successful-only quality/resource means across 10 fully completed datasets; failed executions remain in the success denominator.</x:v>
      </x:c>
      <x:c r="H2" s="44" t="str">
        <x:v>Successful-only quality/resource means across 10 fully completed datasets; failed executions remain in the success denominator.</x:v>
      </x:c>
      <x:c r="I2" s="44" t="str">
        <x:v>Successful-only quality/resource means across 10 fully completed datasets; failed executions remain in the success denominator.</x:v>
      </x:c>
      <x:c r="J2" s="44" t="str">
        <x:v>Successful-only quality/resource means across 10 fully completed datasets; failed executions remain in the success denominator.</x:v>
      </x:c>
      <x:c r="K2" s="44" t="str">
        <x:v>Successful-only quality/resource means across 10 fully completed datasets; failed executions remain in the success denominator.</x:v>
      </x:c>
      <x:c r="L2" s="44" t="str">
        <x:v>Successful-only quality/resource means across 10 fully completed datasets; failed executions remain in the success denominator.</x:v>
      </x:c>
      <x:c r="M2" s="44" t="str">
        <x:v>Successful-only quality/resource means across 10 fully completed datasets; failed executions remain in the success denominator.</x:v>
      </x:c>
      <x:c r="N2" s="44" t="str">
        <x:v>Successful-only quality/resource means across 10 fully completed datasets; failed executions remain in the success denominator.</x:v>
      </x:c>
      <x:c r="O2" s="44" t="str">
        <x:v>Successful-only quality/resource means across 10 fully completed datasets; failed executions remain in the success denominator.</x:v>
      </x:c>
    </x:row>
    <x:row r="4">
      <x:c r="A4" s="5" t="str">
        <x:v>Method</x:v>
      </x:c>
      <x:c r="B4" s="5" t="str">
        <x:v>Declared datasets</x:v>
      </x:c>
      <x:c r="C4" s="5" t="str">
        <x:v>Jobs OK</x:v>
      </x:c>
      <x:c r="D4" s="5" t="str">
        <x:v>Success rate</x:v>
      </x:c>
      <x:c r="E4" s="5" t="str">
        <x:v>Mean macro target F1</x:v>
      </x:c>
      <x:c r="F4" s="5" t="str">
        <x:v>Mean discovery rate</x:v>
      </x:c>
      <x:c r="G4" s="5" t="str">
        <x:v>Mean target purity</x:v>
      </x:c>
      <x:c r="H4" s="5" t="str">
        <x:v>Mean target coverage</x:v>
      </x:c>
      <x:c r="I4" s="5" t="str">
        <x:v>Mean pairwise F1</x:v>
      </x:c>
      <x:c r="J4" s="5" t="str">
        <x:v>Mean predicted clusters</x:v>
      </x:c>
      <x:c r="K4" s="5" t="str">
        <x:v>Mean runtime, s (OK)</x:v>
      </x:c>
      <x:c r="L4" s="5" t="str">
        <x:v>Mean peak RSS, MB (OK)</x:v>
      </x:c>
      <x:c r="M4" s="5" t="str">
        <x:v>Non-OK</x:v>
      </x:c>
      <x:c r="N4" s="5" t="str">
        <x:v>Timeouts</x:v>
      </x:c>
      <x:c r="O4" s="5" t="str">
        <x:v>F1 rank</x:v>
      </x:c>
    </x:row>
    <x:row r="5">
      <x:c r="A5" s="46" t="str">
        <x:v>DBSCAN</x:v>
      </x:c>
      <x:c r="B5" s="47" t="n">
        <x:f>COUNTIFS('Completed Jobs'!$B$2:$B$92,$A5,'Completed Jobs'!$R$2:$R$92,1)</x:f>
        <x:v>10</x:v>
      </x:c>
      <x:c r="C5" s="47" t="n">
        <x:f>COUNTIFS('Completed Jobs'!$B$2:$B$92,$A5,'Completed Jobs'!$R$2:$R$92,1,'Completed Jobs'!$C$2:$C$92,"ok")</x:f>
        <x:v>10</x:v>
      </x:c>
      <x:c r="D5" s="48" t="n">
        <x:f>IFERROR(C5/B5,0)</x:f>
        <x:v>1</x:v>
      </x:c>
      <x:c r="E5" s="48" t="n">
        <x:f>IFERROR(SUMIFS('Completed Jobs'!$F$2:$F$92,'Completed Jobs'!$B$2:$B$92,$A5,'Completed Jobs'!$R$2:$R$92,1,'Completed Jobs'!$C$2:$C$92,"ok")/$C5,"")</x:f>
        <x:v>0.01019038415923305</x:v>
      </x:c>
      <x:c r="F5" s="48" t="n">
        <x:f>IFERROR(SUMIFS('Completed Jobs'!$G$2:$G$92,'Completed Jobs'!$B$2:$B$92,$A5,'Completed Jobs'!$R$2:$R$92,1,'Completed Jobs'!$C$2:$C$92,"ok")/$C5,"")</x:f>
        <x:v>0</x:v>
      </x:c>
      <x:c r="G5" s="48" t="n">
        <x:f>IFERROR(SUMIFS('Completed Jobs'!$H$2:$H$92,'Completed Jobs'!$B$2:$B$92,$A5,'Completed Jobs'!$R$2:$R$92,1,'Completed Jobs'!$C$2:$C$92,"ok")/$C5,"")</x:f>
        <x:v>0.1091143476844952</x:v>
      </x:c>
      <x:c r="H5" s="48" t="n">
        <x:f>IFERROR(SUMIFS('Completed Jobs'!$I$2:$I$92,'Completed Jobs'!$B$2:$B$92,$A5,'Completed Jobs'!$R$2:$R$92,1,'Completed Jobs'!$C$2:$C$92,"ok")/$C5,"")</x:f>
        <x:v>0.008830173398973263</x:v>
      </x:c>
      <x:c r="I5" s="48" t="n">
        <x:f>IFERROR(SUMIFS('Completed Jobs'!$J$2:$J$92,'Completed Jobs'!$B$2:$B$92,$A5,'Completed Jobs'!$R$2:$R$92,1,'Completed Jobs'!$C$2:$C$92,"ok")/$C5,"")</x:f>
        <x:v>0.018083240180766586</x:v>
      </x:c>
      <x:c r="J5" s="49" t="n">
        <x:f>IFERROR(SUMIFS('Completed Jobs'!$K$2:$K$92,'Completed Jobs'!$B$2:$B$92,$A5,'Completed Jobs'!$R$2:$R$92,1,'Completed Jobs'!$C$2:$C$92,"ok")/$C5,"")</x:f>
        <x:v>228.9</x:v>
      </x:c>
      <x:c r="K5" s="49" t="n">
        <x:f>IFERROR(SUMIFS('Completed Jobs'!$N$2:$N$92,'Completed Jobs'!$B$2:$B$92,$A5,'Completed Jobs'!$R$2:$R$92,1,'Completed Jobs'!$C$2:$C$92,"ok")/$C5,"")</x:f>
        <x:v>106.82626525000032</x:v>
      </x:c>
      <x:c r="L5" s="49" t="n">
        <x:f>IFERROR(SUMIFS('Completed Jobs'!$O$2:$O$92,'Completed Jobs'!$B$2:$B$92,$A5,'Completed Jobs'!$R$2:$R$92,1,'Completed Jobs'!$C$2:$C$92,"ok")/$C5,"")</x:f>
        <x:v>278.840625</x:v>
      </x:c>
      <x:c r="M5" s="47" t="n">
        <x:f>B5-C5</x:f>
        <x:v>0</x:v>
      </x:c>
      <x:c r="N5" s="47" t="n">
        <x:f>COUNTIFS('Completed Jobs'!$B$2:$B$92,$A5,'Completed Jobs'!$R$2:$R$92,1,'Completed Jobs'!$C$2:$C$92,"timeout")</x:f>
        <x:v>0</x:v>
      </x:c>
      <x:c r="O5" s="47" t="n">
        <x:f>IF(E5="","",COUNTIF($E$5:$E$13,"&gt;"&amp;E5)+1)</x:f>
        <x:v>6</x:v>
      </x:c>
    </x:row>
    <x:row r="6">
      <x:c r="A6" s="50" t="str">
        <x:v>HDBSCAN</x:v>
      </x:c>
      <x:c r="B6" s="51" t="n">
        <x:f>COUNTIFS('Completed Jobs'!$B$2:$B$92,$A6,'Completed Jobs'!$R$2:$R$92,1)</x:f>
        <x:v>10</x:v>
      </x:c>
      <x:c r="C6" s="51" t="n">
        <x:f>COUNTIFS('Completed Jobs'!$B$2:$B$92,$A6,'Completed Jobs'!$R$2:$R$92,1,'Completed Jobs'!$C$2:$C$92,"ok")</x:f>
        <x:v>8</x:v>
      </x:c>
      <x:c r="D6" s="52" t="n">
        <x:f>IFERROR(C6/B6,0)</x:f>
        <x:v>0.8</x:v>
      </x:c>
      <x:c r="E6" s="52" t="n">
        <x:f>IFERROR(SUMIFS('Completed Jobs'!$F$2:$F$92,'Completed Jobs'!$B$2:$B$92,$A6,'Completed Jobs'!$R$2:$R$92,1,'Completed Jobs'!$C$2:$C$92,"ok")/$C6,"")</x:f>
        <x:v>0.03331933320552626</x:v>
      </x:c>
      <x:c r="F6" s="52" t="n">
        <x:f>IFERROR(SUMIFS('Completed Jobs'!$G$2:$G$92,'Completed Jobs'!$B$2:$B$92,$A6,'Completed Jobs'!$R$2:$R$92,1,'Completed Jobs'!$C$2:$C$92,"ok")/$C6,"")</x:f>
        <x:v>0</x:v>
      </x:c>
      <x:c r="G6" s="52" t="n">
        <x:f>IFERROR(SUMIFS('Completed Jobs'!$H$2:$H$92,'Completed Jobs'!$B$2:$B$92,$A6,'Completed Jobs'!$R$2:$R$92,1,'Completed Jobs'!$C$2:$C$92,"ok")/$C6,"")</x:f>
        <x:v>0.026892382973347846</x:v>
      </x:c>
      <x:c r="H6" s="52" t="n">
        <x:f>IFERROR(SUMIFS('Completed Jobs'!$I$2:$I$92,'Completed Jobs'!$B$2:$B$92,$A6,'Completed Jobs'!$R$2:$R$92,1,'Completed Jobs'!$C$2:$C$92,"ok")/$C6,"")</x:f>
        <x:v>0.13232473699414937</x:v>
      </x:c>
      <x:c r="I6" s="52" t="n">
        <x:f>IFERROR(SUMIFS('Completed Jobs'!$J$2:$J$92,'Completed Jobs'!$B$2:$B$92,$A6,'Completed Jobs'!$R$2:$R$92,1,'Completed Jobs'!$C$2:$C$92,"ok")/$C6,"")</x:f>
        <x:v>0.09614271255598314</x:v>
      </x:c>
      <x:c r="J6" s="53" t="n">
        <x:f>IFERROR(SUMIFS('Completed Jobs'!$K$2:$K$92,'Completed Jobs'!$B$2:$B$92,$A6,'Completed Jobs'!$R$2:$R$92,1,'Completed Jobs'!$C$2:$C$92,"ok")/$C6,"")</x:f>
        <x:v>5.25</x:v>
      </x:c>
      <x:c r="K6" s="53" t="n">
        <x:f>IFERROR(SUMIFS('Completed Jobs'!$N$2:$N$92,'Completed Jobs'!$B$2:$B$92,$A6,'Completed Jobs'!$R$2:$R$92,1,'Completed Jobs'!$C$2:$C$92,"ok")/$C6,"")</x:f>
        <x:v>980.50723535</x:v>
      </x:c>
      <x:c r="L6" s="53" t="n">
        <x:f>IFERROR(SUMIFS('Completed Jobs'!$O$2:$O$92,'Completed Jobs'!$B$2:$B$92,$A6,'Completed Jobs'!$R$2:$R$92,1,'Completed Jobs'!$C$2:$C$92,"ok")/$C6,"")</x:f>
        <x:v>243.322265625</x:v>
      </x:c>
      <x:c r="M6" s="51" t="n">
        <x:f>B6-C6</x:f>
        <x:v>2</x:v>
      </x:c>
      <x:c r="N6" s="51" t="n">
        <x:f>COUNTIFS('Completed Jobs'!$B$2:$B$92,$A6,'Completed Jobs'!$R$2:$R$92,1,'Completed Jobs'!$C$2:$C$92,"timeout")</x:f>
        <x:v>2</x:v>
      </x:c>
      <x:c r="O6" s="51" t="n">
        <x:f>IF(E6="","",COUNTIF($E$5:$E$13,"&gt;"&amp;E6)+1)</x:f>
        <x:v>4</x:v>
      </x:c>
    </x:row>
    <x:row r="7">
      <x:c r="A7" s="50" t="str">
        <x:v>OPTICS</x:v>
      </x:c>
      <x:c r="B7" s="51" t="n">
        <x:f>COUNTIFS('Completed Jobs'!$B$2:$B$92,$A7,'Completed Jobs'!$R$2:$R$92,1)</x:f>
        <x:v>10</x:v>
      </x:c>
      <x:c r="C7" s="51" t="n">
        <x:f>COUNTIFS('Completed Jobs'!$B$2:$B$92,$A7,'Completed Jobs'!$R$2:$R$92,1,'Completed Jobs'!$C$2:$C$92,"ok")</x:f>
        <x:v>10</x:v>
      </x:c>
      <x:c r="D7" s="52" t="n">
        <x:f>IFERROR(C7/B7,0)</x:f>
        <x:v>1</x:v>
      </x:c>
      <x:c r="E7" s="52" t="n">
        <x:f>IFERROR(SUMIFS('Completed Jobs'!$F$2:$F$92,'Completed Jobs'!$B$2:$B$92,$A7,'Completed Jobs'!$R$2:$R$92,1,'Completed Jobs'!$C$2:$C$92,"ok")/$C7,"")</x:f>
        <x:v>0.003957909125031451</x:v>
      </x:c>
      <x:c r="F7" s="52" t="n">
        <x:f>IFERROR(SUMIFS('Completed Jobs'!$G$2:$G$92,'Completed Jobs'!$B$2:$B$92,$A7,'Completed Jobs'!$R$2:$R$92,1,'Completed Jobs'!$C$2:$C$92,"ok")/$C7,"")</x:f>
        <x:v>0</x:v>
      </x:c>
      <x:c r="G7" s="52" t="n">
        <x:f>IFERROR(SUMIFS('Completed Jobs'!$H$2:$H$92,'Completed Jobs'!$B$2:$B$92,$A7,'Completed Jobs'!$R$2:$R$92,1,'Completed Jobs'!$C$2:$C$92,"ok")/$C7,"")</x:f>
        <x:v>0.07430319763713364</x:v>
      </x:c>
      <x:c r="H7" s="52" t="n">
        <x:f>IFERROR(SUMIFS('Completed Jobs'!$I$2:$I$92,'Completed Jobs'!$B$2:$B$92,$A7,'Completed Jobs'!$R$2:$R$92,1,'Completed Jobs'!$C$2:$C$92,"ok")/$C7,"")</x:f>
        <x:v>0.0034836909450350097</x:v>
      </x:c>
      <x:c r="I7" s="52" t="n">
        <x:f>IFERROR(SUMIFS('Completed Jobs'!$J$2:$J$92,'Completed Jobs'!$B$2:$B$92,$A7,'Completed Jobs'!$R$2:$R$92,1,'Completed Jobs'!$C$2:$C$92,"ok")/$C7,"")</x:f>
        <x:v>0.013326654776444017</x:v>
      </x:c>
      <x:c r="J7" s="53" t="n">
        <x:f>IFERROR(SUMIFS('Completed Jobs'!$K$2:$K$92,'Completed Jobs'!$B$2:$B$92,$A7,'Completed Jobs'!$R$2:$R$92,1,'Completed Jobs'!$C$2:$C$92,"ok")/$C7,"")</x:f>
        <x:v>99</x:v>
      </x:c>
      <x:c r="K7" s="53" t="n">
        <x:f>IFERROR(SUMIFS('Completed Jobs'!$N$2:$N$92,'Completed Jobs'!$B$2:$B$92,$A7,'Completed Jobs'!$R$2:$R$92,1,'Completed Jobs'!$C$2:$C$92,"ok")/$C7,"")</x:f>
        <x:v>332.0769485800003</x:v>
      </x:c>
      <x:c r="L7" s="53" t="n">
        <x:f>IFERROR(SUMIFS('Completed Jobs'!$O$2:$O$92,'Completed Jobs'!$B$2:$B$92,$A7,'Completed Jobs'!$R$2:$R$92,1,'Completed Jobs'!$C$2:$C$92,"ok")/$C7,"")</x:f>
        <x:v>287.9703125</x:v>
      </x:c>
      <x:c r="M7" s="51" t="n">
        <x:f>B7-C7</x:f>
        <x:v>0</x:v>
      </x:c>
      <x:c r="N7" s="51" t="n">
        <x:f>COUNTIFS('Completed Jobs'!$B$2:$B$92,$A7,'Completed Jobs'!$R$2:$R$92,1,'Completed Jobs'!$C$2:$C$92,"timeout")</x:f>
        <x:v>0</x:v>
      </x:c>
      <x:c r="O7" s="51" t="n">
        <x:f>IF(E7="","",COUNTIF($E$5:$E$13,"&gt;"&amp;E7)+1)</x:f>
        <x:v>8</x:v>
      </x:c>
    </x:row>
    <x:row r="8">
      <x:c r="A8" s="50" t="str">
        <x:v>SNN-DBSCAN</x:v>
      </x:c>
      <x:c r="B8" s="51" t="n">
        <x:f>COUNTIFS('Completed Jobs'!$B$2:$B$92,$A8,'Completed Jobs'!$R$2:$R$92,1)</x:f>
        <x:v>10</x:v>
      </x:c>
      <x:c r="C8" s="51" t="n">
        <x:f>COUNTIFS('Completed Jobs'!$B$2:$B$92,$A8,'Completed Jobs'!$R$2:$R$92,1,'Completed Jobs'!$C$2:$C$92,"ok")</x:f>
        <x:v>10</x:v>
      </x:c>
      <x:c r="D8" s="52" t="n">
        <x:f>IFERROR(C8/B8,0)</x:f>
        <x:v>1</x:v>
      </x:c>
      <x:c r="E8" s="52" t="n">
        <x:f>IFERROR(SUMIFS('Completed Jobs'!$F$2:$F$92,'Completed Jobs'!$B$2:$B$92,$A8,'Completed Jobs'!$R$2:$R$92,1,'Completed Jobs'!$C$2:$C$92,"ok")/$C8,"")</x:f>
        <x:v>0.06664330277900787</x:v>
      </x:c>
      <x:c r="F8" s="52" t="n">
        <x:f>IFERROR(SUMIFS('Completed Jobs'!$G$2:$G$92,'Completed Jobs'!$B$2:$B$92,$A8,'Completed Jobs'!$R$2:$R$92,1,'Completed Jobs'!$C$2:$C$92,"ok")/$C8,"")</x:f>
        <x:v>0.11250000000000002</x:v>
      </x:c>
      <x:c r="G8" s="52" t="n">
        <x:f>IFERROR(SUMIFS('Completed Jobs'!$H$2:$H$92,'Completed Jobs'!$B$2:$B$92,$A8,'Completed Jobs'!$R$2:$R$92,1,'Completed Jobs'!$C$2:$C$92,"ok")/$C8,"")</x:f>
        <x:v>0.3959733533121757</x:v>
      </x:c>
      <x:c r="H8" s="52" t="n">
        <x:f>IFERROR(SUMIFS('Completed Jobs'!$I$2:$I$92,'Completed Jobs'!$B$2:$B$92,$A8,'Completed Jobs'!$R$2:$R$92,1,'Completed Jobs'!$C$2:$C$92,"ok")/$C8,"")</x:f>
        <x:v>0.0438660174973541</x:v>
      </x:c>
      <x:c r="I8" s="52" t="n">
        <x:f>IFERROR(SUMIFS('Completed Jobs'!$J$2:$J$92,'Completed Jobs'!$B$2:$B$92,$A8,'Completed Jobs'!$R$2:$R$92,1,'Completed Jobs'!$C$2:$C$92,"ok")/$C8,"")</x:f>
        <x:v>0.002508196195484719</x:v>
      </x:c>
      <x:c r="J8" s="53" t="n">
        <x:f>IFERROR(SUMIFS('Completed Jobs'!$K$2:$K$92,'Completed Jobs'!$B$2:$B$92,$A8,'Completed Jobs'!$R$2:$R$92,1,'Completed Jobs'!$C$2:$C$92,"ok")/$C8,"")</x:f>
        <x:v>102.4</x:v>
      </x:c>
      <x:c r="K8" s="53" t="n">
        <x:f>IFERROR(SUMIFS('Completed Jobs'!$N$2:$N$92,'Completed Jobs'!$B$2:$B$92,$A8,'Completed Jobs'!$R$2:$R$92,1,'Completed Jobs'!$C$2:$C$92,"ok")/$C8,"")</x:f>
        <x:v>23.548999919999734</x:v>
      </x:c>
      <x:c r="L8" s="53" t="n">
        <x:f>IFERROR(SUMIFS('Completed Jobs'!$O$2:$O$92,'Completed Jobs'!$B$2:$B$92,$A8,'Completed Jobs'!$R$2:$R$92,1,'Completed Jobs'!$C$2:$C$92,"ok")/$C8,"")</x:f>
        <x:v>351.0671875</x:v>
      </x:c>
      <x:c r="M8" s="51" t="n">
        <x:f>B8-C8</x:f>
        <x:v>0</x:v>
      </x:c>
      <x:c r="N8" s="51" t="n">
        <x:f>COUNTIFS('Completed Jobs'!$B$2:$B$92,$A8,'Completed Jobs'!$R$2:$R$92,1,'Completed Jobs'!$C$2:$C$92,"timeout")</x:f>
        <x:v>0</x:v>
      </x:c>
      <x:c r="O8" s="51" t="n">
        <x:f>IF(E8="","",COUNTIF($E$5:$E$13,"&gt;"&amp;E8)+1)</x:f>
        <x:v>3</x:v>
      </x:c>
    </x:row>
    <x:row r="9">
      <x:c r="A9" s="50" t="str">
        <x:v>VDBSCAN-2007</x:v>
      </x:c>
      <x:c r="B9" s="51" t="n">
        <x:f>COUNTIFS('Completed Jobs'!$B$2:$B$92,$A9,'Completed Jobs'!$R$2:$R$92,1)</x:f>
        <x:v>10</x:v>
      </x:c>
      <x:c r="C9" s="51" t="n">
        <x:f>COUNTIFS('Completed Jobs'!$B$2:$B$92,$A9,'Completed Jobs'!$R$2:$R$92,1,'Completed Jobs'!$C$2:$C$92,"ok")</x:f>
        <x:v>9</x:v>
      </x:c>
      <x:c r="D9" s="52" t="n">
        <x:f>IFERROR(C9/B9,0)</x:f>
        <x:v>0.9</x:v>
      </x:c>
      <x:c r="E9" s="52" t="n">
        <x:f>IFERROR(SUMIFS('Completed Jobs'!$F$2:$F$92,'Completed Jobs'!$B$2:$B$92,$A9,'Completed Jobs'!$R$2:$R$92,1,'Completed Jobs'!$C$2:$C$92,"ok")/$C9,"")</x:f>
        <x:v>0.030864849366937328</x:v>
      </x:c>
      <x:c r="F9" s="52" t="n">
        <x:f>IFERROR(SUMIFS('Completed Jobs'!$G$2:$G$92,'Completed Jobs'!$B$2:$B$92,$A9,'Completed Jobs'!$R$2:$R$92,1,'Completed Jobs'!$C$2:$C$92,"ok")/$C9,"")</x:f>
        <x:v>0</x:v>
      </x:c>
      <x:c r="G9" s="52" t="n">
        <x:f>IFERROR(SUMIFS('Completed Jobs'!$H$2:$H$92,'Completed Jobs'!$B$2:$B$92,$A9,'Completed Jobs'!$R$2:$R$92,1,'Completed Jobs'!$C$2:$C$92,"ok")/$C9,"")</x:f>
        <x:v>0.10427424377474519</x:v>
      </x:c>
      <x:c r="H9" s="52" t="n">
        <x:f>IFERROR(SUMIFS('Completed Jobs'!$I$2:$I$92,'Completed Jobs'!$B$2:$B$92,$A9,'Completed Jobs'!$R$2:$R$92,1,'Completed Jobs'!$C$2:$C$92,"ok")/$C9,"")</x:f>
        <x:v>0.17151158750472623</x:v>
      </x:c>
      <x:c r="I9" s="52" t="n">
        <x:f>IFERROR(SUMIFS('Completed Jobs'!$J$2:$J$92,'Completed Jobs'!$B$2:$B$92,$A9,'Completed Jobs'!$R$2:$R$92,1,'Completed Jobs'!$C$2:$C$92,"ok")/$C9,"")</x:f>
        <x:v>0.08160440044315337</x:v>
      </x:c>
      <x:c r="J9" s="53" t="n">
        <x:f>IFERROR(SUMIFS('Completed Jobs'!$K$2:$K$92,'Completed Jobs'!$B$2:$B$92,$A9,'Completed Jobs'!$R$2:$R$92,1,'Completed Jobs'!$C$2:$C$92,"ok")/$C9,"")</x:f>
        <x:v>33.666666666666664</x:v>
      </x:c>
      <x:c r="K9" s="53" t="n">
        <x:f>IFERROR(SUMIFS('Completed Jobs'!$N$2:$N$92,'Completed Jobs'!$B$2:$B$92,$A9,'Completed Jobs'!$R$2:$R$92,1,'Completed Jobs'!$C$2:$C$92,"ok")/$C9,"")</x:f>
        <x:v>189.89015471111028</x:v>
      </x:c>
      <x:c r="L9" s="53" t="n">
        <x:f>IFERROR(SUMIFS('Completed Jobs'!$O$2:$O$92,'Completed Jobs'!$B$2:$B$92,$A9,'Completed Jobs'!$R$2:$R$92,1,'Completed Jobs'!$C$2:$C$92,"ok")/$C9,"")</x:f>
        <x:v>4909.3046875</x:v>
      </x:c>
      <x:c r="M9" s="51" t="n">
        <x:f>B9-C9</x:f>
        <x:v>1</x:v>
      </x:c>
      <x:c r="N9" s="51" t="n">
        <x:f>COUNTIFS('Completed Jobs'!$B$2:$B$92,$A9,'Completed Jobs'!$R$2:$R$92,1,'Completed Jobs'!$C$2:$C$92,"timeout")</x:f>
        <x:v>0</x:v>
      </x:c>
      <x:c r="O9" s="51" t="n">
        <x:f>IF(E9="","",COUNTIF($E$5:$E$13,"&gt;"&amp;E9)+1)</x:f>
        <x:v>5</x:v>
      </x:c>
    </x:row>
    <x:row r="10">
      <x:c r="A10" s="50" t="str">
        <x:v>AMD-DBSCAN</x:v>
      </x:c>
      <x:c r="B10" s="51" t="n">
        <x:f>COUNTIFS('Completed Jobs'!$B$2:$B$92,$A10,'Completed Jobs'!$R$2:$R$92,1)</x:f>
        <x:v>10</x:v>
      </x:c>
      <x:c r="C10" s="51" t="n">
        <x:f>COUNTIFS('Completed Jobs'!$B$2:$B$92,$A10,'Completed Jobs'!$R$2:$R$92,1,'Completed Jobs'!$C$2:$C$92,"ok")</x:f>
        <x:v>0</x:v>
      </x:c>
      <x:c r="D10" s="52" t="n">
        <x:f>IFERROR(C10/B10,0)</x:f>
        <x:v>0</x:v>
      </x:c>
      <x:c r="E10" s="52" t="str">
        <x:f>IFERROR(SUMIFS('Completed Jobs'!$F$2:$F$92,'Completed Jobs'!$B$2:$B$92,$A10,'Completed Jobs'!$R$2:$R$92,1,'Completed Jobs'!$C$2:$C$92,"ok")/$C10,"")</x:f>
      </x:c>
      <x:c r="F10" s="52" t="str">
        <x:f>IFERROR(SUMIFS('Completed Jobs'!$G$2:$G$92,'Completed Jobs'!$B$2:$B$92,$A10,'Completed Jobs'!$R$2:$R$92,1,'Completed Jobs'!$C$2:$C$92,"ok")/$C10,"")</x:f>
      </x:c>
      <x:c r="G10" s="52" t="str">
        <x:f>IFERROR(SUMIFS('Completed Jobs'!$H$2:$H$92,'Completed Jobs'!$B$2:$B$92,$A10,'Completed Jobs'!$R$2:$R$92,1,'Completed Jobs'!$C$2:$C$92,"ok")/$C10,"")</x:f>
      </x:c>
      <x:c r="H10" s="52" t="str">
        <x:f>IFERROR(SUMIFS('Completed Jobs'!$I$2:$I$92,'Completed Jobs'!$B$2:$B$92,$A10,'Completed Jobs'!$R$2:$R$92,1,'Completed Jobs'!$C$2:$C$92,"ok")/$C10,"")</x:f>
      </x:c>
      <x:c r="I10" s="52" t="str">
        <x:f>IFERROR(SUMIFS('Completed Jobs'!$J$2:$J$92,'Completed Jobs'!$B$2:$B$92,$A10,'Completed Jobs'!$R$2:$R$92,1,'Completed Jobs'!$C$2:$C$92,"ok")/$C10,"")</x:f>
      </x:c>
      <x:c r="J10" s="53" t="str">
        <x:f>IFERROR(SUMIFS('Completed Jobs'!$K$2:$K$92,'Completed Jobs'!$B$2:$B$92,$A10,'Completed Jobs'!$R$2:$R$92,1,'Completed Jobs'!$C$2:$C$92,"ok")/$C10,"")</x:f>
      </x:c>
      <x:c r="K10" s="53" t="str">
        <x:f>IFERROR(SUMIFS('Completed Jobs'!$N$2:$N$92,'Completed Jobs'!$B$2:$B$92,$A10,'Completed Jobs'!$R$2:$R$92,1,'Completed Jobs'!$C$2:$C$92,"ok")/$C10,"")</x:f>
      </x:c>
      <x:c r="L10" s="53" t="str">
        <x:f>IFERROR(SUMIFS('Completed Jobs'!$O$2:$O$92,'Completed Jobs'!$B$2:$B$92,$A10,'Completed Jobs'!$R$2:$R$92,1,'Completed Jobs'!$C$2:$C$92,"ok")/$C10,"")</x:f>
      </x:c>
      <x:c r="M10" s="51" t="n">
        <x:f>B10-C10</x:f>
        <x:v>10</x:v>
      </x:c>
      <x:c r="N10" s="51" t="n">
        <x:f>COUNTIFS('Completed Jobs'!$B$2:$B$92,$A10,'Completed Jobs'!$R$2:$R$92,1,'Completed Jobs'!$C$2:$C$92,"timeout")</x:f>
        <x:v>0</x:v>
      </x:c>
      <x:c r="O10" s="51" t="str">
        <x:f>IF(E10="","",COUNTIF($E$5:$E$13,"&gt;"&amp;E10)+1)</x:f>
      </x:c>
    </x:row>
    <x:row r="11">
      <x:c r="A11" s="50" t="str">
        <x:v>kNN-DBSCAN</x:v>
      </x:c>
      <x:c r="B11" s="51" t="n">
        <x:f>COUNTIFS('Completed Jobs'!$B$2:$B$92,$A11,'Completed Jobs'!$R$2:$R$92,1)</x:f>
        <x:v>10</x:v>
      </x:c>
      <x:c r="C11" s="51" t="n">
        <x:f>COUNTIFS('Completed Jobs'!$B$2:$B$92,$A11,'Completed Jobs'!$R$2:$R$92,1,'Completed Jobs'!$C$2:$C$92,"ok")</x:f>
        <x:v>10</x:v>
      </x:c>
      <x:c r="D11" s="52" t="n">
        <x:f>IFERROR(C11/B11,0)</x:f>
        <x:v>1</x:v>
      </x:c>
      <x:c r="E11" s="52" t="n">
        <x:f>IFERROR(SUMIFS('Completed Jobs'!$F$2:$F$92,'Completed Jobs'!$B$2:$B$92,$A11,'Completed Jobs'!$R$2:$R$92,1,'Completed Jobs'!$C$2:$C$92,"ok")/$C11,"")</x:f>
        <x:v>0.009884813618329545</x:v>
      </x:c>
      <x:c r="F11" s="52" t="n">
        <x:f>IFERROR(SUMIFS('Completed Jobs'!$G$2:$G$92,'Completed Jobs'!$B$2:$B$92,$A11,'Completed Jobs'!$R$2:$R$92,1,'Completed Jobs'!$C$2:$C$92,"ok")/$C11,"")</x:f>
        <x:v>0</x:v>
      </x:c>
      <x:c r="G11" s="52" t="n">
        <x:f>IFERROR(SUMIFS('Completed Jobs'!$H$2:$H$92,'Completed Jobs'!$B$2:$B$92,$A11,'Completed Jobs'!$R$2:$R$92,1,'Completed Jobs'!$C$2:$C$92,"ok")/$C11,"")</x:f>
        <x:v>0.1097801272481812</x:v>
      </x:c>
      <x:c r="H11" s="52" t="n">
        <x:f>IFERROR(SUMIFS('Completed Jobs'!$I$2:$I$92,'Completed Jobs'!$B$2:$B$92,$A11,'Completed Jobs'!$R$2:$R$92,1,'Completed Jobs'!$C$2:$C$92,"ok")/$C11,"")</x:f>
        <x:v>0.00861064724612143</x:v>
      </x:c>
      <x:c r="I11" s="52" t="n">
        <x:f>IFERROR(SUMIFS('Completed Jobs'!$J$2:$J$92,'Completed Jobs'!$B$2:$B$92,$A11,'Completed Jobs'!$R$2:$R$92,1,'Completed Jobs'!$C$2:$C$92,"ok")/$C11,"")</x:f>
        <x:v>0.017723727893121866</x:v>
      </x:c>
      <x:c r="J11" s="53" t="n">
        <x:f>IFERROR(SUMIFS('Completed Jobs'!$K$2:$K$92,'Completed Jobs'!$B$2:$B$92,$A11,'Completed Jobs'!$R$2:$R$92,1,'Completed Jobs'!$C$2:$C$92,"ok")/$C11,"")</x:f>
        <x:v>248.2</x:v>
      </x:c>
      <x:c r="K11" s="53" t="n">
        <x:f>IFERROR(SUMIFS('Completed Jobs'!$N$2:$N$92,'Completed Jobs'!$B$2:$B$92,$A11,'Completed Jobs'!$R$2:$R$92,1,'Completed Jobs'!$C$2:$C$92,"ok")/$C11,"")</x:f>
        <x:v>22.222256979998566</x:v>
      </x:c>
      <x:c r="L11" s="53" t="n">
        <x:f>IFERROR(SUMIFS('Completed Jobs'!$O$2:$O$92,'Completed Jobs'!$B$2:$B$92,$A11,'Completed Jobs'!$R$2:$R$92,1,'Completed Jobs'!$C$2:$C$92,"ok")/$C11,"")</x:f>
        <x:v>274.75859375</x:v>
      </x:c>
      <x:c r="M11" s="51" t="n">
        <x:f>B11-C11</x:f>
        <x:v>0</x:v>
      </x:c>
      <x:c r="N11" s="51" t="n">
        <x:f>COUNTIFS('Completed Jobs'!$B$2:$B$92,$A11,'Completed Jobs'!$R$2:$R$92,1,'Completed Jobs'!$C$2:$C$92,"timeout")</x:f>
        <x:v>0</x:v>
      </x:c>
      <x:c r="O11" s="51" t="n">
        <x:f>IF(E11="","",COUNTIF($E$5:$E$13,"&gt;"&amp;E11)+1)</x:f>
        <x:v>7</x:v>
      </x:c>
    </x:row>
    <x:row r="12">
      <x:c r="A12" s="50" t="str">
        <x:v>kNN+Leiden</x:v>
      </x:c>
      <x:c r="B12" s="51" t="n">
        <x:f>COUNTIFS('Completed Jobs'!$B$2:$B$92,$A12,'Completed Jobs'!$R$2:$R$92,1)</x:f>
        <x:v>10</x:v>
      </x:c>
      <x:c r="C12" s="51" t="n">
        <x:f>COUNTIFS('Completed Jobs'!$B$2:$B$92,$A12,'Completed Jobs'!$R$2:$R$92,1,'Completed Jobs'!$C$2:$C$92,"ok")</x:f>
        <x:v>8</x:v>
      </x:c>
      <x:c r="D12" s="52" t="n">
        <x:f>IFERROR(C12/B12,0)</x:f>
        <x:v>0.8</x:v>
      </x:c>
      <x:c r="E12" s="52" t="n">
        <x:f>IFERROR(SUMIFS('Completed Jobs'!$F$2:$F$92,'Completed Jobs'!$B$2:$B$92,$A12,'Completed Jobs'!$R$2:$R$92,1,'Completed Jobs'!$C$2:$C$92,"ok")/$C12,"")</x:f>
        <x:v>0.27794444782801625</x:v>
      </x:c>
      <x:c r="F12" s="52" t="n">
        <x:f>IFERROR(SUMIFS('Completed Jobs'!$G$2:$G$92,'Completed Jobs'!$B$2:$B$92,$A12,'Completed Jobs'!$R$2:$R$92,1,'Completed Jobs'!$C$2:$C$92,"ok")/$C12,"")</x:f>
        <x:v>0</x:v>
      </x:c>
      <x:c r="G12" s="52" t="n">
        <x:f>IFERROR(SUMIFS('Completed Jobs'!$H$2:$H$92,'Completed Jobs'!$B$2:$B$92,$A12,'Completed Jobs'!$R$2:$R$92,1,'Completed Jobs'!$C$2:$C$92,"ok")/$C12,"")</x:f>
        <x:v>0.21697330718161606</x:v>
      </x:c>
      <x:c r="H12" s="52" t="n">
        <x:f>IFERROR(SUMIFS('Completed Jobs'!$I$2:$I$92,'Completed Jobs'!$B$2:$B$92,$A12,'Completed Jobs'!$R$2:$R$92,1,'Completed Jobs'!$C$2:$C$92,"ok")/$C12,"")</x:f>
        <x:v>0.5392312781940388</x:v>
      </x:c>
      <x:c r="I12" s="52" t="n">
        <x:f>IFERROR(SUMIFS('Completed Jobs'!$J$2:$J$92,'Completed Jobs'!$B$2:$B$92,$A12,'Completed Jobs'!$R$2:$R$92,1,'Completed Jobs'!$C$2:$C$92,"ok")/$C12,"")</x:f>
        <x:v>0.4448117100769893</x:v>
      </x:c>
      <x:c r="J12" s="53" t="n">
        <x:f>IFERROR(SUMIFS('Completed Jobs'!$K$2:$K$92,'Completed Jobs'!$B$2:$B$92,$A12,'Completed Jobs'!$R$2:$R$92,1,'Completed Jobs'!$C$2:$C$92,"ok")/$C12,"")</x:f>
        <x:v>13.75</x:v>
      </x:c>
      <x:c r="K12" s="53" t="n">
        <x:f>IFERROR(SUMIFS('Completed Jobs'!$N$2:$N$92,'Completed Jobs'!$B$2:$B$92,$A12,'Completed Jobs'!$R$2:$R$92,1,'Completed Jobs'!$C$2:$C$92,"ok")/$C12,"")</x:f>
        <x:v>58.64270367499921</x:v>
      </x:c>
      <x:c r="L12" s="53" t="n">
        <x:f>IFERROR(SUMIFS('Completed Jobs'!$O$2:$O$92,'Completed Jobs'!$B$2:$B$92,$A12,'Completed Jobs'!$R$2:$R$92,1,'Completed Jobs'!$C$2:$C$92,"ok")/$C12,"")</x:f>
        <x:v>673.62646484375</x:v>
      </x:c>
      <x:c r="M12" s="51" t="n">
        <x:f>B12-C12</x:f>
        <x:v>2</x:v>
      </x:c>
      <x:c r="N12" s="51" t="n">
        <x:f>COUNTIFS('Completed Jobs'!$B$2:$B$92,$A12,'Completed Jobs'!$R$2:$R$92,1,'Completed Jobs'!$C$2:$C$92,"timeout")</x:f>
        <x:v>2</x:v>
      </x:c>
      <x:c r="O12" s="51" t="n">
        <x:f>IF(E12="","",COUNTIF($E$5:$E$13,"&gt;"&amp;E12)+1)</x:f>
        <x:v>1</x:v>
      </x:c>
    </x:row>
    <x:row r="13">
      <x:c r="A13" s="54" t="str">
        <x:v>StrataSCAN</x:v>
      </x:c>
      <x:c r="B13" s="55" t="n">
        <x:f>COUNTIFS('Completed Jobs'!$B$2:$B$92,$A13,'Completed Jobs'!$R$2:$R$92,1)</x:f>
        <x:v>10</x:v>
      </x:c>
      <x:c r="C13" s="55" t="n">
        <x:f>COUNTIFS('Completed Jobs'!$B$2:$B$92,$A13,'Completed Jobs'!$R$2:$R$92,1,'Completed Jobs'!$C$2:$C$92,"ok")</x:f>
        <x:v>10</x:v>
      </x:c>
      <x:c r="D13" s="56" t="n">
        <x:f>IFERROR(C13/B13,0)</x:f>
        <x:v>1</x:v>
      </x:c>
      <x:c r="E13" s="56" t="n">
        <x:f>IFERROR(SUMIFS('Completed Jobs'!$F$2:$F$92,'Completed Jobs'!$B$2:$B$92,$A13,'Completed Jobs'!$R$2:$R$92,1,'Completed Jobs'!$C$2:$C$92,"ok")/$C13,"")</x:f>
        <x:v>0.18481969351696112</x:v>
      </x:c>
      <x:c r="F13" s="56" t="n">
        <x:f>IFERROR(SUMIFS('Completed Jobs'!$G$2:$G$92,'Completed Jobs'!$B$2:$B$92,$A13,'Completed Jobs'!$R$2:$R$92,1,'Completed Jobs'!$C$2:$C$92,"ok")/$C13,"")</x:f>
        <x:v>0.029166666666666667</x:v>
      </x:c>
      <x:c r="G13" s="56" t="n">
        <x:f>IFERROR(SUMIFS('Completed Jobs'!$H$2:$H$92,'Completed Jobs'!$B$2:$B$92,$A13,'Completed Jobs'!$R$2:$R$92,1,'Completed Jobs'!$C$2:$C$92,"ok")/$C13,"")</x:f>
        <x:v>0.3216183214293634</x:v>
      </x:c>
      <x:c r="H13" s="56" t="n">
        <x:f>IFERROR(SUMIFS('Completed Jobs'!$I$2:$I$92,'Completed Jobs'!$B$2:$B$92,$A13,'Completed Jobs'!$R$2:$R$92,1,'Completed Jobs'!$C$2:$C$92,"ok")/$C13,"")</x:f>
        <x:v>0.3026528517344361</x:v>
      </x:c>
      <x:c r="I13" s="56" t="n">
        <x:f>IFERROR(SUMIFS('Completed Jobs'!$J$2:$J$92,'Completed Jobs'!$B$2:$B$92,$A13,'Completed Jobs'!$R$2:$R$92,1,'Completed Jobs'!$C$2:$C$92,"ok")/$C13,"")</x:f>
        <x:v>0.11505110181393248</x:v>
      </x:c>
      <x:c r="J13" s="57" t="n">
        <x:f>IFERROR(SUMIFS('Completed Jobs'!$K$2:$K$92,'Completed Jobs'!$B$2:$B$92,$A13,'Completed Jobs'!$R$2:$R$92,1,'Completed Jobs'!$C$2:$C$92,"ok")/$C13,"")</x:f>
        <x:v>708.8</x:v>
      </x:c>
      <x:c r="K13" s="57" t="n">
        <x:f>IFERROR(SUMIFS('Completed Jobs'!$N$2:$N$92,'Completed Jobs'!$B$2:$B$92,$A13,'Completed Jobs'!$R$2:$R$92,1,'Completed Jobs'!$C$2:$C$92,"ok")/$C13,"")</x:f>
        <x:v>85.602127070001</x:v>
      </x:c>
      <x:c r="L13" s="57" t="n">
        <x:f>IFERROR(SUMIFS('Completed Jobs'!$O$2:$O$92,'Completed Jobs'!$B$2:$B$92,$A13,'Completed Jobs'!$R$2:$R$92,1,'Completed Jobs'!$C$2:$C$92,"ok")/$C13,"")</x:f>
        <x:v>555.260546875</x:v>
      </x:c>
      <x:c r="M13" s="55" t="n">
        <x:f>B13-C13</x:f>
        <x:v>0</x:v>
      </x:c>
      <x:c r="N13" s="55" t="n">
        <x:f>COUNTIFS('Completed Jobs'!$B$2:$B$92,$A13,'Completed Jobs'!$R$2:$R$92,1,'Completed Jobs'!$C$2:$C$92,"timeout")</x:f>
        <x:v>0</x:v>
      </x:c>
      <x:c r="O13" s="55" t="n">
        <x:f>IF(E13="","",COUNTIF($E$5:$E$13,"&gt;"&amp;E13)+1)</x:f>
        <x:v>2</x:v>
      </x:c>
    </x:row>
  </x:sheetData>
  <x:mergeCells>
    <x:mergeCell ref="A1:O1"/>
    <x:mergeCell ref="A2:O2"/>
  </x:mergeCells>
  <x:conditionalFormatting sqref="D5:D13">
    <x:cfRule type="colorScale" priority="1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conditionalFormatting sqref="E5:E13">
    <x:cfRule type="colorScale" priority="2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conditionalFormatting sqref="F5:F13">
    <x:cfRule type="colorScale" priority="3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conditionalFormatting sqref="G5:G13">
    <x:cfRule type="colorScale" priority="4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conditionalFormatting sqref="H5:H13">
    <x:cfRule type="colorScale" priority="5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conditionalFormatting sqref="I5:I13">
    <x:cfRule type="colorScale" priority="6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64a04200cdf41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3.5" hidden="0" customWidth="1"/>
    <x:col min="3" max="3" width="13.5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  <x:col min="9" max="9" width="13.5" hidden="0" customWidth="1"/>
    <x:col min="10" max="10" width="13.5" hidden="0" customWidth="1"/>
  </x:cols>
  <x:sheetData>
    <x:row r="1" ht="34" customHeight="1">
      <x:c r="A1" s="43" t="str">
        <x:v>Dataset-by-method comparison</x:v>
      </x:c>
      <x:c r="B1" s="43" t="str">
        <x:v>Dataset-by-method comparison</x:v>
      </x:c>
      <x:c r="C1" s="43" t="str">
        <x:v>Dataset-by-method comparison</x:v>
      </x:c>
      <x:c r="D1" s="43" t="str">
        <x:v>Dataset-by-method comparison</x:v>
      </x:c>
      <x:c r="E1" s="43" t="str">
        <x:v>Dataset-by-method comparison</x:v>
      </x:c>
      <x:c r="F1" s="43" t="str">
        <x:v>Dataset-by-method comparison</x:v>
      </x:c>
      <x:c r="G1" s="43" t="str">
        <x:v>Dataset-by-method comparison</x:v>
      </x:c>
      <x:c r="H1" s="43" t="str">
        <x:v>Dataset-by-method comparison</x:v>
      </x:c>
      <x:c r="I1" s="43" t="str">
        <x:v>Dataset-by-method comparison</x:v>
      </x:c>
      <x:c r="J1" s="43" t="str">
        <x:v>Dataset-by-method comparison</x:v>
      </x:c>
    </x:row>
    <x:row r="2">
      <x:c r="A2" s="44" t="str">
        <x:v>Only fully completed datasets are shown, so every method has the same declared denominator.</x:v>
      </x:c>
      <x:c r="B2" s="44" t="str">
        <x:v>Only fully completed datasets are shown, so every method has the same declared denominator.</x:v>
      </x:c>
      <x:c r="C2" s="44" t="str">
        <x:v>Only fully completed datasets are shown, so every method has the same declared denominator.</x:v>
      </x:c>
      <x:c r="D2" s="44" t="str">
        <x:v>Only fully completed datasets are shown, so every method has the same declared denominator.</x:v>
      </x:c>
      <x:c r="E2" s="44" t="str">
        <x:v>Only fully completed datasets are shown, so every method has the same declared denominator.</x:v>
      </x:c>
      <x:c r="F2" s="44" t="str">
        <x:v>Only fully completed datasets are shown, so every method has the same declared denominator.</x:v>
      </x:c>
      <x:c r="G2" s="44" t="str">
        <x:v>Only fully completed datasets are shown, so every method has the same declared denominator.</x:v>
      </x:c>
      <x:c r="H2" s="44" t="str">
        <x:v>Only fully completed datasets are shown, so every method has the same declared denominator.</x:v>
      </x:c>
      <x:c r="I2" s="44" t="str">
        <x:v>Only fully completed datasets are shown, so every method has the same declared denominator.</x:v>
      </x:c>
      <x:c r="J2" s="44" t="str">
        <x:v>Only fully completed datasets are shown, so every method has the same declared denominator.</x:v>
      </x:c>
    </x:row>
    <x:row r="4">
      <x:c r="A4" s="62" t="str">
        <x:v>Macro target F1</x:v>
      </x:c>
      <x:c r="B4" s="62" t="str">
        <x:v>DBSCAN</x:v>
      </x:c>
      <x:c r="C4" s="62" t="str">
        <x:v>HDBSCAN</x:v>
      </x:c>
      <x:c r="D4" s="62" t="str">
        <x:v>OPTICS</x:v>
      </x:c>
      <x:c r="E4" s="62" t="str">
        <x:v>SNN-DBSCAN</x:v>
      </x:c>
      <x:c r="F4" s="62" t="str">
        <x:v>VDBSCAN-2007</x:v>
      </x:c>
      <x:c r="G4" s="62" t="str">
        <x:v>AMD-DBSCAN</x:v>
      </x:c>
      <x:c r="H4" s="62" t="str">
        <x:v>kNN-DBSCAN</x:v>
      </x:c>
      <x:c r="I4" s="62" t="str">
        <x:v>kNN+Leiden</x:v>
      </x:c>
      <x:c r="J4" s="62" t="str">
        <x:v>StrataSCAN</x:v>
      </x:c>
    </x:row>
    <x:row r="5">
      <x:c r="A5" s="50" t="str">
        <x:v>Levine</x:v>
      </x:c>
      <x:c r="B5" s="63" t="n">
        <x:f>IFERROR(SUMIFS('Completed Jobs'!$F$2:$F$92,'Completed Jobs'!$A$2:$A$92,$A5,'Completed Jobs'!$B$2:$B$92,B$4,'Completed Jobs'!$C$2:$C$92,"ok")/COUNTIFS('Completed Jobs'!$A$2:$A$92,$A5,'Completed Jobs'!$B$2:$B$92,B$4,'Completed Jobs'!$C$2:$C$92,"ok"),"")</x:f>
        <x:v>0.035747756351159246</x:v>
      </x:c>
      <x:c r="C5" s="63" t="str">
        <x:f>IFERROR(SUMIFS('Completed Jobs'!$F$2:$F$92,'Completed Jobs'!$A$2:$A$92,$A5,'Completed Jobs'!$B$2:$B$92,C$4,'Completed Jobs'!$C$2:$C$92,"ok")/COUNTIFS('Completed Jobs'!$A$2:$A$92,$A5,'Completed Jobs'!$B$2:$B$92,C$4,'Completed Jobs'!$C$2:$C$92,"ok"),"")</x:f>
      </x:c>
      <x:c r="D5" s="63" t="n">
        <x:f>IFERROR(SUMIFS('Completed Jobs'!$F$2:$F$92,'Completed Jobs'!$A$2:$A$92,$A5,'Completed Jobs'!$B$2:$B$92,D$4,'Completed Jobs'!$C$2:$C$92,"ok")/COUNTIFS('Completed Jobs'!$A$2:$A$92,$A5,'Completed Jobs'!$B$2:$B$92,D$4,'Completed Jobs'!$C$2:$C$92,"ok"),"")</x:f>
        <x:v>0.0041412982859919106</x:v>
      </x:c>
      <x:c r="E5" s="63" t="n">
        <x:f>IFERROR(SUMIFS('Completed Jobs'!$F$2:$F$92,'Completed Jobs'!$A$2:$A$92,$A5,'Completed Jobs'!$B$2:$B$92,E$4,'Completed Jobs'!$C$2:$C$92,"ok")/COUNTIFS('Completed Jobs'!$A$2:$A$92,$A5,'Completed Jobs'!$B$2:$B$92,E$4,'Completed Jobs'!$C$2:$C$92,"ok"),"")</x:f>
        <x:v>0.008755058359845604</x:v>
      </x:c>
      <x:c r="F5" s="63" t="n">
        <x:f>IFERROR(SUMIFS('Completed Jobs'!$F$2:$F$92,'Completed Jobs'!$A$2:$A$92,$A5,'Completed Jobs'!$B$2:$B$92,F$4,'Completed Jobs'!$C$2:$C$92,"ok")/COUNTIFS('Completed Jobs'!$A$2:$A$92,$A5,'Completed Jobs'!$B$2:$B$92,F$4,'Completed Jobs'!$C$2:$C$92,"ok"),"")</x:f>
        <x:v>0.016620347149773024</x:v>
      </x:c>
      <x:c r="G5" s="63" t="str">
        <x:f>IFERROR(SUMIFS('Completed Jobs'!$F$2:$F$92,'Completed Jobs'!$A$2:$A$92,$A5,'Completed Jobs'!$B$2:$B$92,G$4,'Completed Jobs'!$C$2:$C$92,"ok")/COUNTIFS('Completed Jobs'!$A$2:$A$92,$A5,'Completed Jobs'!$B$2:$B$92,G$4,'Completed Jobs'!$C$2:$C$92,"ok"),"")</x:f>
      </x:c>
      <x:c r="H5" s="63" t="n">
        <x:f>IFERROR(SUMIFS('Completed Jobs'!$F$2:$F$92,'Completed Jobs'!$A$2:$A$92,$A5,'Completed Jobs'!$B$2:$B$92,H$4,'Completed Jobs'!$C$2:$C$92,"ok")/COUNTIFS('Completed Jobs'!$A$2:$A$92,$A5,'Completed Jobs'!$B$2:$B$92,H$4,'Completed Jobs'!$C$2:$C$92,"ok"),"")</x:f>
        <x:v>0.03254349226869472</x:v>
      </x:c>
      <x:c r="I5" s="63" t="str">
        <x:f>IFERROR(SUMIFS('Completed Jobs'!$F$2:$F$92,'Completed Jobs'!$A$2:$A$92,$A5,'Completed Jobs'!$B$2:$B$92,I$4,'Completed Jobs'!$C$2:$C$92,"ok")/COUNTIFS('Completed Jobs'!$A$2:$A$92,$A5,'Completed Jobs'!$B$2:$B$92,I$4,'Completed Jobs'!$C$2:$C$92,"ok"),"")</x:f>
      </x:c>
      <x:c r="J5" s="63" t="n">
        <x:f>IFERROR(SUMIFS('Completed Jobs'!$F$2:$F$92,'Completed Jobs'!$A$2:$A$92,$A5,'Completed Jobs'!$B$2:$B$92,J$4,'Completed Jobs'!$C$2:$C$92,"ok")/COUNTIFS('Completed Jobs'!$A$2:$A$92,$A5,'Completed Jobs'!$B$2:$B$92,J$4,'Completed Jobs'!$C$2:$C$92,"ok"),"")</x:f>
        <x:v>0.1901834180369206</x:v>
      </x:c>
    </x:row>
    <x:row r="6">
      <x:c r="A6" s="50" t="str">
        <x:v>Mosmann</x:v>
      </x:c>
      <x:c r="B6" s="63" t="n">
        <x:f>IFERROR(SUMIFS('Completed Jobs'!$F$2:$F$92,'Completed Jobs'!$A$2:$A$92,$A6,'Completed Jobs'!$B$2:$B$92,B$4,'Completed Jobs'!$C$2:$C$92,"ok")/COUNTIFS('Completed Jobs'!$A$2:$A$92,$A6,'Completed Jobs'!$B$2:$B$92,B$4,'Completed Jobs'!$C$2:$C$92,"ok"),"")</x:f>
        <x:v>0</x:v>
      </x:c>
      <x:c r="C6" s="63" t="str">
        <x:f>IFERROR(SUMIFS('Completed Jobs'!$F$2:$F$92,'Completed Jobs'!$A$2:$A$92,$A6,'Completed Jobs'!$B$2:$B$92,C$4,'Completed Jobs'!$C$2:$C$92,"ok")/COUNTIFS('Completed Jobs'!$A$2:$A$92,$A6,'Completed Jobs'!$B$2:$B$92,C$4,'Completed Jobs'!$C$2:$C$92,"ok"),"")</x:f>
      </x:c>
      <x:c r="D6" s="63" t="n">
        <x:f>IFERROR(SUMIFS('Completed Jobs'!$F$2:$F$92,'Completed Jobs'!$A$2:$A$92,$A6,'Completed Jobs'!$B$2:$B$92,D$4,'Completed Jobs'!$C$2:$C$92,"ok")/COUNTIFS('Completed Jobs'!$A$2:$A$92,$A6,'Completed Jobs'!$B$2:$B$92,D$4,'Completed Jobs'!$C$2:$C$92,"ok"),"")</x:f>
        <x:v>0</x:v>
      </x:c>
      <x:c r="E6" s="63" t="n">
        <x:f>IFERROR(SUMIFS('Completed Jobs'!$F$2:$F$92,'Completed Jobs'!$A$2:$A$92,$A6,'Completed Jobs'!$B$2:$B$92,E$4,'Completed Jobs'!$C$2:$C$92,"ok")/COUNTIFS('Completed Jobs'!$A$2:$A$92,$A6,'Completed Jobs'!$B$2:$B$92,E$4,'Completed Jobs'!$C$2:$C$92,"ok"),"")</x:f>
        <x:v>0.27906976744186046</x:v>
      </x:c>
      <x:c r="F6" s="63" t="n">
        <x:f>IFERROR(SUMIFS('Completed Jobs'!$F$2:$F$92,'Completed Jobs'!$A$2:$A$92,$A6,'Completed Jobs'!$B$2:$B$92,F$4,'Completed Jobs'!$C$2:$C$92,"ok")/COUNTIFS('Completed Jobs'!$A$2:$A$92,$A6,'Completed Jobs'!$B$2:$B$92,F$4,'Completed Jobs'!$C$2:$C$92,"ok"),"")</x:f>
        <x:v>0.00008206834104319804</x:v>
      </x:c>
      <x:c r="G6" s="63" t="str">
        <x:f>IFERROR(SUMIFS('Completed Jobs'!$F$2:$F$92,'Completed Jobs'!$A$2:$A$92,$A6,'Completed Jobs'!$B$2:$B$92,G$4,'Completed Jobs'!$C$2:$C$92,"ok")/COUNTIFS('Completed Jobs'!$A$2:$A$92,$A6,'Completed Jobs'!$B$2:$B$92,G$4,'Completed Jobs'!$C$2:$C$92,"ok"),"")</x:f>
      </x:c>
      <x:c r="H6" s="63" t="n">
        <x:f>IFERROR(SUMIFS('Completed Jobs'!$F$2:$F$92,'Completed Jobs'!$A$2:$A$92,$A6,'Completed Jobs'!$B$2:$B$92,H$4,'Completed Jobs'!$C$2:$C$92,"ok")/COUNTIFS('Completed Jobs'!$A$2:$A$92,$A6,'Completed Jobs'!$B$2:$B$92,H$4,'Completed Jobs'!$C$2:$C$92,"ok"),"")</x:f>
        <x:v>0</x:v>
      </x:c>
      <x:c r="I6" s="63" t="str">
        <x:f>IFERROR(SUMIFS('Completed Jobs'!$F$2:$F$92,'Completed Jobs'!$A$2:$A$92,$A6,'Completed Jobs'!$B$2:$B$92,I$4,'Completed Jobs'!$C$2:$C$92,"ok")/COUNTIFS('Completed Jobs'!$A$2:$A$92,$A6,'Completed Jobs'!$B$2:$B$92,I$4,'Completed Jobs'!$C$2:$C$92,"ok"),"")</x:f>
      </x:c>
      <x:c r="J6" s="63" t="n">
        <x:f>IFERROR(SUMIFS('Completed Jobs'!$F$2:$F$92,'Completed Jobs'!$A$2:$A$92,$A6,'Completed Jobs'!$B$2:$B$92,J$4,'Completed Jobs'!$C$2:$C$92,"ok")/COUNTIFS('Completed Jobs'!$A$2:$A$92,$A6,'Completed Jobs'!$B$2:$B$92,J$4,'Completed Jobs'!$C$2:$C$92,"ok"),"")</x:f>
        <x:v>0.0018351402635118882</x:v>
      </x:c>
    </x:row>
    <x:row r="7">
      <x:c r="A7" s="50" t="str">
        <x:v>Nilsson</x:v>
      </x:c>
      <x:c r="B7" s="63" t="n">
        <x:f>IFERROR(SUMIFS('Completed Jobs'!$F$2:$F$92,'Completed Jobs'!$A$2:$A$92,$A7,'Completed Jobs'!$B$2:$B$92,B$4,'Completed Jobs'!$C$2:$C$92,"ok")/COUNTIFS('Completed Jobs'!$A$2:$A$92,$A7,'Completed Jobs'!$B$2:$B$92,B$4,'Completed Jobs'!$C$2:$C$92,"ok"),"")</x:f>
        <x:v>0</x:v>
      </x:c>
      <x:c r="C7" s="63" t="n">
        <x:f>IFERROR(SUMIFS('Completed Jobs'!$F$2:$F$92,'Completed Jobs'!$A$2:$A$92,$A7,'Completed Jobs'!$B$2:$B$92,C$4,'Completed Jobs'!$C$2:$C$92,"ok")/COUNTIFS('Completed Jobs'!$A$2:$A$92,$A7,'Completed Jobs'!$B$2:$B$92,C$4,'Completed Jobs'!$C$2:$C$92,"ok"),"")</x:f>
        <x:v>0.10363790186125212</x:v>
      </x:c>
      <x:c r="D7" s="63" t="n">
        <x:f>IFERROR(SUMIFS('Completed Jobs'!$F$2:$F$92,'Completed Jobs'!$A$2:$A$92,$A7,'Completed Jobs'!$B$2:$B$92,D$4,'Completed Jobs'!$C$2:$C$92,"ok")/COUNTIFS('Completed Jobs'!$A$2:$A$92,$A7,'Completed Jobs'!$B$2:$B$92,D$4,'Completed Jobs'!$C$2:$C$92,"ok"),"")</x:f>
        <x:v>0</x:v>
      </x:c>
      <x:c r="E7" s="63" t="n">
        <x:f>IFERROR(SUMIFS('Completed Jobs'!$F$2:$F$92,'Completed Jobs'!$A$2:$A$92,$A7,'Completed Jobs'!$B$2:$B$92,E$4,'Completed Jobs'!$C$2:$C$92,"ok")/COUNTIFS('Completed Jobs'!$A$2:$A$92,$A7,'Completed Jobs'!$B$2:$B$92,E$4,'Completed Jobs'!$C$2:$C$92,"ok"),"")</x:f>
        <x:v>0.05907172995780591</x:v>
      </x:c>
      <x:c r="F7" s="63" t="n">
        <x:f>IFERROR(SUMIFS('Completed Jobs'!$F$2:$F$92,'Completed Jobs'!$A$2:$A$92,$A7,'Completed Jobs'!$B$2:$B$92,F$4,'Completed Jobs'!$C$2:$C$92,"ok")/COUNTIFS('Completed Jobs'!$A$2:$A$92,$A7,'Completed Jobs'!$B$2:$B$92,F$4,'Completed Jobs'!$C$2:$C$92,"ok"),"")</x:f>
        <x:v>0.01915798055086473</x:v>
      </x:c>
      <x:c r="G7" s="63" t="str">
        <x:f>IFERROR(SUMIFS('Completed Jobs'!$F$2:$F$92,'Completed Jobs'!$A$2:$A$92,$A7,'Completed Jobs'!$B$2:$B$92,G$4,'Completed Jobs'!$C$2:$C$92,"ok")/COUNTIFS('Completed Jobs'!$A$2:$A$92,$A7,'Completed Jobs'!$B$2:$B$92,G$4,'Completed Jobs'!$C$2:$C$92,"ok"),"")</x:f>
      </x:c>
      <x:c r="H7" s="63" t="n">
        <x:f>IFERROR(SUMIFS('Completed Jobs'!$F$2:$F$92,'Completed Jobs'!$A$2:$A$92,$A7,'Completed Jobs'!$B$2:$B$92,H$4,'Completed Jobs'!$C$2:$C$92,"ok")/COUNTIFS('Completed Jobs'!$A$2:$A$92,$A7,'Completed Jobs'!$B$2:$B$92,H$4,'Completed Jobs'!$C$2:$C$92,"ok"),"")</x:f>
        <x:v>0</x:v>
      </x:c>
      <x:c r="I7" s="63" t="n">
        <x:f>IFERROR(SUMIFS('Completed Jobs'!$F$2:$F$92,'Completed Jobs'!$A$2:$A$92,$A7,'Completed Jobs'!$B$2:$B$92,I$4,'Completed Jobs'!$C$2:$C$92,"ok")/COUNTIFS('Completed Jobs'!$A$2:$A$92,$A7,'Completed Jobs'!$B$2:$B$92,I$4,'Completed Jobs'!$C$2:$C$92,"ok"),"")</x:f>
        <x:v>0.1327469012395042</x:v>
      </x:c>
      <x:c r="J7" s="63" t="n">
        <x:f>IFERROR(SUMIFS('Completed Jobs'!$F$2:$F$92,'Completed Jobs'!$A$2:$A$92,$A7,'Completed Jobs'!$B$2:$B$92,J$4,'Completed Jobs'!$C$2:$C$92,"ok")/COUNTIFS('Completed Jobs'!$A$2:$A$92,$A7,'Completed Jobs'!$B$2:$B$92,J$4,'Completed Jobs'!$C$2:$C$92,"ok"),"")</x:f>
        <x:v>0.5168800931315483</x:v>
      </x:c>
    </x:row>
    <x:row r="8">
      <x:c r="A8" s="50" t="str">
        <x:v>Samusik 01</x:v>
      </x:c>
      <x:c r="B8" s="63" t="n">
        <x:f>IFERROR(SUMIFS('Completed Jobs'!$F$2:$F$92,'Completed Jobs'!$A$2:$A$92,$A8,'Completed Jobs'!$B$2:$B$92,B$4,'Completed Jobs'!$C$2:$C$92,"ok")/COUNTIFS('Completed Jobs'!$A$2:$A$92,$A8,'Completed Jobs'!$B$2:$B$92,B$4,'Completed Jobs'!$C$2:$C$92,"ok"),"")</x:f>
        <x:v>0.013732728199306111</x:v>
      </x:c>
      <x:c r="C8" s="63" t="n">
        <x:f>IFERROR(SUMIFS('Completed Jobs'!$F$2:$F$92,'Completed Jobs'!$A$2:$A$92,$A8,'Completed Jobs'!$B$2:$B$92,C$4,'Completed Jobs'!$C$2:$C$92,"ok")/COUNTIFS('Completed Jobs'!$A$2:$A$92,$A8,'Completed Jobs'!$B$2:$B$92,C$4,'Completed Jobs'!$C$2:$C$92,"ok"),"")</x:f>
        <x:v>0.01715493245739011</x:v>
      </x:c>
      <x:c r="D8" s="63" t="n">
        <x:f>IFERROR(SUMIFS('Completed Jobs'!$F$2:$F$92,'Completed Jobs'!$A$2:$A$92,$A8,'Completed Jobs'!$B$2:$B$92,D$4,'Completed Jobs'!$C$2:$C$92,"ok")/COUNTIFS('Completed Jobs'!$A$2:$A$92,$A8,'Completed Jobs'!$B$2:$B$92,D$4,'Completed Jobs'!$C$2:$C$92,"ok"),"")</x:f>
        <x:v>0.0005518763796909492</x:v>
      </x:c>
      <x:c r="E8" s="63" t="n">
        <x:f>IFERROR(SUMIFS('Completed Jobs'!$F$2:$F$92,'Completed Jobs'!$A$2:$A$92,$A8,'Completed Jobs'!$B$2:$B$92,E$4,'Completed Jobs'!$C$2:$C$92,"ok")/COUNTIFS('Completed Jobs'!$A$2:$A$92,$A8,'Completed Jobs'!$B$2:$B$92,E$4,'Completed Jobs'!$C$2:$C$92,"ok"),"")</x:f>
        <x:v>0.03201790833095184</x:v>
      </x:c>
      <x:c r="F8" s="63" t="str">
        <x:f>IFERROR(SUMIFS('Completed Jobs'!$F$2:$F$92,'Completed Jobs'!$A$2:$A$92,$A8,'Completed Jobs'!$B$2:$B$92,F$4,'Completed Jobs'!$C$2:$C$92,"ok")/COUNTIFS('Completed Jobs'!$A$2:$A$92,$A8,'Completed Jobs'!$B$2:$B$92,F$4,'Completed Jobs'!$C$2:$C$92,"ok"),"")</x:f>
      </x:c>
      <x:c r="G8" s="63" t="str">
        <x:f>IFERROR(SUMIFS('Completed Jobs'!$F$2:$F$92,'Completed Jobs'!$A$2:$A$92,$A8,'Completed Jobs'!$B$2:$B$92,G$4,'Completed Jobs'!$C$2:$C$92,"ok")/COUNTIFS('Completed Jobs'!$A$2:$A$92,$A8,'Completed Jobs'!$B$2:$B$92,G$4,'Completed Jobs'!$C$2:$C$92,"ok"),"")</x:f>
      </x:c>
      <x:c r="H8" s="63" t="n">
        <x:f>IFERROR(SUMIFS('Completed Jobs'!$F$2:$F$92,'Completed Jobs'!$A$2:$A$92,$A8,'Completed Jobs'!$B$2:$B$92,H$4,'Completed Jobs'!$C$2:$C$92,"ok")/COUNTIFS('Completed Jobs'!$A$2:$A$92,$A8,'Completed Jobs'!$B$2:$B$92,H$4,'Completed Jobs'!$C$2:$C$92,"ok"),"")</x:f>
        <x:v>0.01364400569448179</x:v>
      </x:c>
      <x:c r="I8" s="63" t="n">
        <x:f>IFERROR(SUMIFS('Completed Jobs'!$F$2:$F$92,'Completed Jobs'!$A$2:$A$92,$A8,'Completed Jobs'!$B$2:$B$92,I$4,'Completed Jobs'!$C$2:$C$92,"ok")/COUNTIFS('Completed Jobs'!$A$2:$A$92,$A8,'Completed Jobs'!$B$2:$B$92,I$4,'Completed Jobs'!$C$2:$C$92,"ok"),"")</x:f>
        <x:v>0.28252989224713304</x:v>
      </x:c>
      <x:c r="J8" s="63" t="n">
        <x:f>IFERROR(SUMIFS('Completed Jobs'!$F$2:$F$92,'Completed Jobs'!$A$2:$A$92,$A8,'Completed Jobs'!$B$2:$B$92,J$4,'Completed Jobs'!$C$2:$C$92,"ok")/COUNTIFS('Completed Jobs'!$A$2:$A$92,$A8,'Completed Jobs'!$B$2:$B$92,J$4,'Completed Jobs'!$C$2:$C$92,"ok"),"")</x:f>
        <x:v>0.20334311364048882</x:v>
      </x:c>
    </x:row>
    <x:row r="9">
      <x:c r="A9" s="50" t="str">
        <x:v>Samusik 02</x:v>
      </x:c>
      <x:c r="B9" s="63" t="n">
        <x:f>IFERROR(SUMIFS('Completed Jobs'!$F$2:$F$92,'Completed Jobs'!$A$2:$A$92,$A9,'Completed Jobs'!$B$2:$B$92,B$4,'Completed Jobs'!$C$2:$C$92,"ok")/COUNTIFS('Completed Jobs'!$A$2:$A$92,$A9,'Completed Jobs'!$B$2:$B$92,B$4,'Completed Jobs'!$C$2:$C$92,"ok"),"")</x:f>
        <x:v>0.009626112100694346</x:v>
      </x:c>
      <x:c r="C9" s="63" t="n">
        <x:f>IFERROR(SUMIFS('Completed Jobs'!$F$2:$F$92,'Completed Jobs'!$A$2:$A$92,$A9,'Completed Jobs'!$B$2:$B$92,C$4,'Completed Jobs'!$C$2:$C$92,"ok")/COUNTIFS('Completed Jobs'!$A$2:$A$92,$A9,'Completed Jobs'!$B$2:$B$92,C$4,'Completed Jobs'!$C$2:$C$92,"ok"),"")</x:f>
        <x:v>0.011420969649191958</x:v>
      </x:c>
      <x:c r="D9" s="63" t="n">
        <x:f>IFERROR(SUMIFS('Completed Jobs'!$F$2:$F$92,'Completed Jobs'!$A$2:$A$92,$A9,'Completed Jobs'!$B$2:$B$92,D$4,'Completed Jobs'!$C$2:$C$92,"ok")/COUNTIFS('Completed Jobs'!$A$2:$A$92,$A9,'Completed Jobs'!$B$2:$B$92,D$4,'Completed Jobs'!$C$2:$C$92,"ok"),"")</x:f>
        <x:v>0.014705349451206858</x:v>
      </x:c>
      <x:c r="E9" s="63" t="n">
        <x:f>IFERROR(SUMIFS('Completed Jobs'!$F$2:$F$92,'Completed Jobs'!$A$2:$A$92,$A9,'Completed Jobs'!$B$2:$B$92,E$4,'Completed Jobs'!$C$2:$C$92,"ok")/COUNTIFS('Completed Jobs'!$A$2:$A$92,$A9,'Completed Jobs'!$B$2:$B$92,E$4,'Completed Jobs'!$C$2:$C$92,"ok"),"")</x:f>
        <x:v>0.043128786729978684</x:v>
      </x:c>
      <x:c r="F9" s="63" t="n">
        <x:f>IFERROR(SUMIFS('Completed Jobs'!$F$2:$F$92,'Completed Jobs'!$A$2:$A$92,$A9,'Completed Jobs'!$B$2:$B$92,F$4,'Completed Jobs'!$C$2:$C$92,"ok")/COUNTIFS('Completed Jobs'!$A$2:$A$92,$A9,'Completed Jobs'!$B$2:$B$92,F$4,'Completed Jobs'!$C$2:$C$92,"ok"),"")</x:f>
        <x:v>0.041285732510221294</x:v>
      </x:c>
      <x:c r="G9" s="63" t="str">
        <x:f>IFERROR(SUMIFS('Completed Jobs'!$F$2:$F$92,'Completed Jobs'!$A$2:$A$92,$A9,'Completed Jobs'!$B$2:$B$92,G$4,'Completed Jobs'!$C$2:$C$92,"ok")/COUNTIFS('Completed Jobs'!$A$2:$A$92,$A9,'Completed Jobs'!$B$2:$B$92,G$4,'Completed Jobs'!$C$2:$C$92,"ok"),"")</x:f>
      </x:c>
      <x:c r="H9" s="63" t="n">
        <x:f>IFERROR(SUMIFS('Completed Jobs'!$F$2:$F$92,'Completed Jobs'!$A$2:$A$92,$A9,'Completed Jobs'!$B$2:$B$92,H$4,'Completed Jobs'!$C$2:$C$92,"ok")/COUNTIFS('Completed Jobs'!$A$2:$A$92,$A9,'Completed Jobs'!$B$2:$B$92,H$4,'Completed Jobs'!$C$2:$C$92,"ok"),"")</x:f>
        <x:v>0.009639911296537457</x:v>
      </x:c>
      <x:c r="I9" s="63" t="n">
        <x:f>IFERROR(SUMIFS('Completed Jobs'!$F$2:$F$92,'Completed Jobs'!$A$2:$A$92,$A9,'Completed Jobs'!$B$2:$B$92,I$4,'Completed Jobs'!$C$2:$C$92,"ok")/COUNTIFS('Completed Jobs'!$A$2:$A$92,$A9,'Completed Jobs'!$B$2:$B$92,I$4,'Completed Jobs'!$C$2:$C$92,"ok"),"")</x:f>
        <x:v>0.3173733770112808</x:v>
      </x:c>
      <x:c r="J9" s="63" t="n">
        <x:f>IFERROR(SUMIFS('Completed Jobs'!$F$2:$F$92,'Completed Jobs'!$A$2:$A$92,$A9,'Completed Jobs'!$B$2:$B$92,J$4,'Completed Jobs'!$C$2:$C$92,"ok")/COUNTIFS('Completed Jobs'!$A$2:$A$92,$A9,'Completed Jobs'!$B$2:$B$92,J$4,'Completed Jobs'!$C$2:$C$92,"ok"),"")</x:f>
        <x:v>0.005467955239064091</x:v>
      </x:c>
    </x:row>
    <x:row r="10">
      <x:c r="A10" s="50" t="str">
        <x:v>Samusik 03</x:v>
      </x:c>
      <x:c r="B10" s="63" t="n">
        <x:f>IFERROR(SUMIFS('Completed Jobs'!$F$2:$F$92,'Completed Jobs'!$A$2:$A$92,$A10,'Completed Jobs'!$B$2:$B$92,B$4,'Completed Jobs'!$C$2:$C$92,"ok")/COUNTIFS('Completed Jobs'!$A$2:$A$92,$A10,'Completed Jobs'!$B$2:$B$92,B$4,'Completed Jobs'!$C$2:$C$92,"ok"),"")</x:f>
        <x:v>0.00939698642247723</x:v>
      </x:c>
      <x:c r="C10" s="63" t="n">
        <x:f>IFERROR(SUMIFS('Completed Jobs'!$F$2:$F$92,'Completed Jobs'!$A$2:$A$92,$A10,'Completed Jobs'!$B$2:$B$92,C$4,'Completed Jobs'!$C$2:$C$92,"ok")/COUNTIFS('Completed Jobs'!$A$2:$A$92,$A10,'Completed Jobs'!$B$2:$B$92,C$4,'Completed Jobs'!$C$2:$C$92,"ok"),"")</x:f>
        <x:v>0.03914928004697193</x:v>
      </x:c>
      <x:c r="D10" s="63" t="n">
        <x:f>IFERROR(SUMIFS('Completed Jobs'!$F$2:$F$92,'Completed Jobs'!$A$2:$A$92,$A10,'Completed Jobs'!$B$2:$B$92,D$4,'Completed Jobs'!$C$2:$C$92,"ok")/COUNTIFS('Completed Jobs'!$A$2:$A$92,$A10,'Completed Jobs'!$B$2:$B$92,D$4,'Completed Jobs'!$C$2:$C$92,"ok"),"")</x:f>
        <x:v>0.015909865281713804</x:v>
      </x:c>
      <x:c r="E10" s="63" t="n">
        <x:f>IFERROR(SUMIFS('Completed Jobs'!$F$2:$F$92,'Completed Jobs'!$A$2:$A$92,$A10,'Completed Jobs'!$B$2:$B$92,E$4,'Completed Jobs'!$C$2:$C$92,"ok")/COUNTIFS('Completed Jobs'!$A$2:$A$92,$A10,'Completed Jobs'!$B$2:$B$92,E$4,'Completed Jobs'!$C$2:$C$92,"ok"),"")</x:f>
        <x:v>0.052100824303027614</x:v>
      </x:c>
      <x:c r="F10" s="63" t="n">
        <x:f>IFERROR(SUMIFS('Completed Jobs'!$F$2:$F$92,'Completed Jobs'!$A$2:$A$92,$A10,'Completed Jobs'!$B$2:$B$92,F$4,'Completed Jobs'!$C$2:$C$92,"ok")/COUNTIFS('Completed Jobs'!$A$2:$A$92,$A10,'Completed Jobs'!$B$2:$B$92,F$4,'Completed Jobs'!$C$2:$C$92,"ok"),"")</x:f>
        <x:v>0.0407198755640402</x:v>
      </x:c>
      <x:c r="G10" s="63" t="str">
        <x:f>IFERROR(SUMIFS('Completed Jobs'!$F$2:$F$92,'Completed Jobs'!$A$2:$A$92,$A10,'Completed Jobs'!$B$2:$B$92,G$4,'Completed Jobs'!$C$2:$C$92,"ok")/COUNTIFS('Completed Jobs'!$A$2:$A$92,$A10,'Completed Jobs'!$B$2:$B$92,G$4,'Completed Jobs'!$C$2:$C$92,"ok"),"")</x:f>
      </x:c>
      <x:c r="H10" s="63" t="n">
        <x:f>IFERROR(SUMIFS('Completed Jobs'!$F$2:$F$92,'Completed Jobs'!$A$2:$A$92,$A10,'Completed Jobs'!$B$2:$B$92,H$4,'Completed Jobs'!$C$2:$C$92,"ok")/COUNTIFS('Completed Jobs'!$A$2:$A$92,$A10,'Completed Jobs'!$B$2:$B$92,H$4,'Completed Jobs'!$C$2:$C$92,"ok"),"")</x:f>
        <x:v>0.009605784898896902</x:v>
      </x:c>
      <x:c r="I10" s="63" t="n">
        <x:f>IFERROR(SUMIFS('Completed Jobs'!$F$2:$F$92,'Completed Jobs'!$A$2:$A$92,$A10,'Completed Jobs'!$B$2:$B$92,I$4,'Completed Jobs'!$C$2:$C$92,"ok")/COUNTIFS('Completed Jobs'!$A$2:$A$92,$A10,'Completed Jobs'!$B$2:$B$92,I$4,'Completed Jobs'!$C$2:$C$92,"ok"),"")</x:f>
        <x:v>0.3179776769646023</x:v>
      </x:c>
      <x:c r="J10" s="63" t="n">
        <x:f>IFERROR(SUMIFS('Completed Jobs'!$F$2:$F$92,'Completed Jobs'!$A$2:$A$92,$A10,'Completed Jobs'!$B$2:$B$92,J$4,'Completed Jobs'!$C$2:$C$92,"ok")/COUNTIFS('Completed Jobs'!$A$2:$A$92,$A10,'Completed Jobs'!$B$2:$B$92,J$4,'Completed Jobs'!$C$2:$C$92,"ok"),"")</x:f>
        <x:v>0.0054839509232866524</x:v>
      </x:c>
    </x:row>
    <x:row r="11">
      <x:c r="A11" s="50" t="str">
        <x:v>Samusik 04</x:v>
      </x:c>
      <x:c r="B11" s="63" t="n">
        <x:f>IFERROR(SUMIFS('Completed Jobs'!$F$2:$F$92,'Completed Jobs'!$A$2:$A$92,$A11,'Completed Jobs'!$B$2:$B$92,B$4,'Completed Jobs'!$C$2:$C$92,"ok")/COUNTIFS('Completed Jobs'!$A$2:$A$92,$A11,'Completed Jobs'!$B$2:$B$92,B$4,'Completed Jobs'!$C$2:$C$92,"ok"),"")</x:f>
        <x:v>0.007673991454368655</x:v>
      </x:c>
      <x:c r="C11" s="63" t="n">
        <x:f>IFERROR(SUMIFS('Completed Jobs'!$F$2:$F$92,'Completed Jobs'!$A$2:$A$92,$A11,'Completed Jobs'!$B$2:$B$92,C$4,'Completed Jobs'!$C$2:$C$92,"ok")/COUNTIFS('Completed Jobs'!$A$2:$A$92,$A11,'Completed Jobs'!$B$2:$B$92,C$4,'Completed Jobs'!$C$2:$C$92,"ok"),"")</x:f>
        <x:v>0.008885960735680038</x:v>
      </x:c>
      <x:c r="D11" s="63" t="n">
        <x:f>IFERROR(SUMIFS('Completed Jobs'!$F$2:$F$92,'Completed Jobs'!$A$2:$A$92,$A11,'Completed Jobs'!$B$2:$B$92,D$4,'Completed Jobs'!$C$2:$C$92,"ok")/COUNTIFS('Completed Jobs'!$A$2:$A$92,$A11,'Completed Jobs'!$B$2:$B$92,D$4,'Completed Jobs'!$C$2:$C$92,"ok"),"")</x:f>
        <x:v>0.00212702450748031</x:v>
      </x:c>
      <x:c r="E11" s="63" t="n">
        <x:f>IFERROR(SUMIFS('Completed Jobs'!$F$2:$F$92,'Completed Jobs'!$A$2:$A$92,$A11,'Completed Jobs'!$B$2:$B$92,E$4,'Completed Jobs'!$C$2:$C$92,"ok")/COUNTIFS('Completed Jobs'!$A$2:$A$92,$A11,'Completed Jobs'!$B$2:$B$92,E$4,'Completed Jobs'!$C$2:$C$92,"ok"),"")</x:f>
        <x:v>0.052042852560300557</x:v>
      </x:c>
      <x:c r="F11" s="63" t="n">
        <x:f>IFERROR(SUMIFS('Completed Jobs'!$F$2:$F$92,'Completed Jobs'!$A$2:$A$92,$A11,'Completed Jobs'!$B$2:$B$92,F$4,'Completed Jobs'!$C$2:$C$92,"ok")/COUNTIFS('Completed Jobs'!$A$2:$A$92,$A11,'Completed Jobs'!$B$2:$B$92,F$4,'Completed Jobs'!$C$2:$C$92,"ok"),"")</x:f>
        <x:v>0.04642720659800704</x:v>
      </x:c>
      <x:c r="G11" s="63" t="str">
        <x:f>IFERROR(SUMIFS('Completed Jobs'!$F$2:$F$92,'Completed Jobs'!$A$2:$A$92,$A11,'Completed Jobs'!$B$2:$B$92,G$4,'Completed Jobs'!$C$2:$C$92,"ok")/COUNTIFS('Completed Jobs'!$A$2:$A$92,$A11,'Completed Jobs'!$B$2:$B$92,G$4,'Completed Jobs'!$C$2:$C$92,"ok"),"")</x:f>
      </x:c>
      <x:c r="H11" s="63" t="n">
        <x:f>IFERROR(SUMIFS('Completed Jobs'!$F$2:$F$92,'Completed Jobs'!$A$2:$A$92,$A11,'Completed Jobs'!$B$2:$B$92,H$4,'Completed Jobs'!$C$2:$C$92,"ok")/COUNTIFS('Completed Jobs'!$A$2:$A$92,$A11,'Completed Jobs'!$B$2:$B$92,H$4,'Completed Jobs'!$C$2:$C$92,"ok"),"")</x:f>
        <x:v>0.007681833795533785</x:v>
      </x:c>
      <x:c r="I11" s="63" t="n">
        <x:f>IFERROR(SUMIFS('Completed Jobs'!$F$2:$F$92,'Completed Jobs'!$A$2:$A$92,$A11,'Completed Jobs'!$B$2:$B$92,I$4,'Completed Jobs'!$C$2:$C$92,"ok")/COUNTIFS('Completed Jobs'!$A$2:$A$92,$A11,'Completed Jobs'!$B$2:$B$92,I$4,'Completed Jobs'!$C$2:$C$92,"ok"),"")</x:f>
        <x:v>0.31096190168325727</x:v>
      </x:c>
      <x:c r="J11" s="63" t="n">
        <x:f>IFERROR(SUMIFS('Completed Jobs'!$F$2:$F$92,'Completed Jobs'!$A$2:$A$92,$A11,'Completed Jobs'!$B$2:$B$92,J$4,'Completed Jobs'!$C$2:$C$92,"ok")/COUNTIFS('Completed Jobs'!$A$2:$A$92,$A11,'Completed Jobs'!$B$2:$B$92,J$4,'Completed Jobs'!$C$2:$C$92,"ok"),"")</x:f>
        <x:v>0.20208347257576778</x:v>
      </x:c>
    </x:row>
    <x:row r="12">
      <x:c r="A12" s="50" t="str">
        <x:v>Samusik 05</x:v>
      </x:c>
      <x:c r="B12" s="63" t="n">
        <x:f>IFERROR(SUMIFS('Completed Jobs'!$F$2:$F$92,'Completed Jobs'!$A$2:$A$92,$A12,'Completed Jobs'!$B$2:$B$92,B$4,'Completed Jobs'!$C$2:$C$92,"ok")/COUNTIFS('Completed Jobs'!$A$2:$A$92,$A12,'Completed Jobs'!$B$2:$B$92,B$4,'Completed Jobs'!$C$2:$C$92,"ok"),"")</x:f>
        <x:v>0.00801423294448886</x:v>
      </x:c>
      <x:c r="C12" s="63" t="n">
        <x:f>IFERROR(SUMIFS('Completed Jobs'!$F$2:$F$92,'Completed Jobs'!$A$2:$A$92,$A12,'Completed Jobs'!$B$2:$B$92,C$4,'Completed Jobs'!$C$2:$C$92,"ok")/COUNTIFS('Completed Jobs'!$A$2:$A$92,$A12,'Completed Jobs'!$B$2:$B$92,C$4,'Completed Jobs'!$C$2:$C$92,"ok"),"")</x:f>
        <x:v>0.009961759948687915</x:v>
      </x:c>
      <x:c r="D12" s="63" t="n">
        <x:f>IFERROR(SUMIFS('Completed Jobs'!$F$2:$F$92,'Completed Jobs'!$A$2:$A$92,$A12,'Completed Jobs'!$B$2:$B$92,D$4,'Completed Jobs'!$C$2:$C$92,"ok")/COUNTIFS('Completed Jobs'!$A$2:$A$92,$A12,'Completed Jobs'!$B$2:$B$92,D$4,'Completed Jobs'!$C$2:$C$92,"ok"),"")</x:f>
        <x:v>0.0016219384474143305</x:v>
      </x:c>
      <x:c r="E12" s="63" t="n">
        <x:f>IFERROR(SUMIFS('Completed Jobs'!$F$2:$F$92,'Completed Jobs'!$A$2:$A$92,$A12,'Completed Jobs'!$B$2:$B$92,E$4,'Completed Jobs'!$C$2:$C$92,"ok")/COUNTIFS('Completed Jobs'!$A$2:$A$92,$A12,'Completed Jobs'!$B$2:$B$92,E$4,'Completed Jobs'!$C$2:$C$92,"ok"),"")</x:f>
        <x:v>0.024950165145234775</x:v>
      </x:c>
      <x:c r="F12" s="63" t="n">
        <x:f>IFERROR(SUMIFS('Completed Jobs'!$F$2:$F$92,'Completed Jobs'!$A$2:$A$92,$A12,'Completed Jobs'!$B$2:$B$92,F$4,'Completed Jobs'!$C$2:$C$92,"ok")/COUNTIFS('Completed Jobs'!$A$2:$A$92,$A12,'Completed Jobs'!$B$2:$B$92,F$4,'Completed Jobs'!$C$2:$C$92,"ok"),"")</x:f>
        <x:v>0.0363073892679747</x:v>
      </x:c>
      <x:c r="G12" s="63" t="str">
        <x:f>IFERROR(SUMIFS('Completed Jobs'!$F$2:$F$92,'Completed Jobs'!$A$2:$A$92,$A12,'Completed Jobs'!$B$2:$B$92,G$4,'Completed Jobs'!$C$2:$C$92,"ok")/COUNTIFS('Completed Jobs'!$A$2:$A$92,$A12,'Completed Jobs'!$B$2:$B$92,G$4,'Completed Jobs'!$C$2:$C$92,"ok"),"")</x:f>
      </x:c>
      <x:c r="H12" s="63" t="n">
        <x:f>IFERROR(SUMIFS('Completed Jobs'!$F$2:$F$92,'Completed Jobs'!$A$2:$A$92,$A12,'Completed Jobs'!$B$2:$B$92,H$4,'Completed Jobs'!$C$2:$C$92,"ok")/COUNTIFS('Completed Jobs'!$A$2:$A$92,$A12,'Completed Jobs'!$B$2:$B$92,H$4,'Completed Jobs'!$C$2:$C$92,"ok"),"")</x:f>
        <x:v>0.008024454807307442</x:v>
      </x:c>
      <x:c r="I12" s="63" t="n">
        <x:f>IFERROR(SUMIFS('Completed Jobs'!$F$2:$F$92,'Completed Jobs'!$A$2:$A$92,$A12,'Completed Jobs'!$B$2:$B$92,I$4,'Completed Jobs'!$C$2:$C$92,"ok")/COUNTIFS('Completed Jobs'!$A$2:$A$92,$A12,'Completed Jobs'!$B$2:$B$92,I$4,'Completed Jobs'!$C$2:$C$92,"ok"),"")</x:f>
        <x:v>0.2928609610928294</x:v>
      </x:c>
      <x:c r="J12" s="63" t="n">
        <x:f>IFERROR(SUMIFS('Completed Jobs'!$F$2:$F$92,'Completed Jobs'!$A$2:$A$92,$A12,'Completed Jobs'!$B$2:$B$92,J$4,'Completed Jobs'!$C$2:$C$92,"ok")/COUNTIFS('Completed Jobs'!$A$2:$A$92,$A12,'Completed Jobs'!$B$2:$B$92,J$4,'Completed Jobs'!$C$2:$C$92,"ok"),"")</x:f>
        <x:v>0.24398368689128183</x:v>
      </x:c>
    </x:row>
    <x:row r="13">
      <x:c r="A13" s="50" t="str">
        <x:v>Samusik 06</x:v>
      </x:c>
      <x:c r="B13" s="63" t="n">
        <x:f>IFERROR(SUMIFS('Completed Jobs'!$F$2:$F$92,'Completed Jobs'!$A$2:$A$92,$A13,'Completed Jobs'!$B$2:$B$92,B$4,'Completed Jobs'!$C$2:$C$92,"ok")/COUNTIFS('Completed Jobs'!$A$2:$A$92,$A13,'Completed Jobs'!$B$2:$B$92,B$4,'Completed Jobs'!$C$2:$C$92,"ok"),"")</x:f>
        <x:v>0.009930804289590442</x:v>
      </x:c>
      <x:c r="C13" s="63" t="n">
        <x:f>IFERROR(SUMIFS('Completed Jobs'!$F$2:$F$92,'Completed Jobs'!$A$2:$A$92,$A13,'Completed Jobs'!$B$2:$B$92,C$4,'Completed Jobs'!$C$2:$C$92,"ok")/COUNTIFS('Completed Jobs'!$A$2:$A$92,$A13,'Completed Jobs'!$B$2:$B$92,C$4,'Completed Jobs'!$C$2:$C$92,"ok"),"")</x:f>
        <x:v>0.034709855598115</x:v>
      </x:c>
      <x:c r="D13" s="63" t="n">
        <x:f>IFERROR(SUMIFS('Completed Jobs'!$F$2:$F$92,'Completed Jobs'!$A$2:$A$92,$A13,'Completed Jobs'!$B$2:$B$92,D$4,'Completed Jobs'!$C$2:$C$92,"ok")/COUNTIFS('Completed Jobs'!$A$2:$A$92,$A13,'Completed Jobs'!$B$2:$B$92,D$4,'Completed Jobs'!$C$2:$C$92,"ok"),"")</x:f>
        <x:v>0.00014645577035735208</x:v>
      </x:c>
      <x:c r="E13" s="63" t="n">
        <x:f>IFERROR(SUMIFS('Completed Jobs'!$F$2:$F$92,'Completed Jobs'!$A$2:$A$92,$A13,'Completed Jobs'!$B$2:$B$92,E$4,'Completed Jobs'!$C$2:$C$92,"ok")/COUNTIFS('Completed Jobs'!$A$2:$A$92,$A13,'Completed Jobs'!$B$2:$B$92,E$4,'Completed Jobs'!$C$2:$C$92,"ok"),"")</x:f>
        <x:v>0.0752176989484034</x:v>
      </x:c>
      <x:c r="F13" s="63" t="n">
        <x:f>IFERROR(SUMIFS('Completed Jobs'!$F$2:$F$92,'Completed Jobs'!$A$2:$A$92,$A13,'Completed Jobs'!$B$2:$B$92,F$4,'Completed Jobs'!$C$2:$C$92,"ok")/COUNTIFS('Completed Jobs'!$A$2:$A$92,$A13,'Completed Jobs'!$B$2:$B$92,F$4,'Completed Jobs'!$C$2:$C$92,"ok"),"")</x:f>
        <x:v>0.035203524043200214</x:v>
      </x:c>
      <x:c r="G13" s="63" t="str">
        <x:f>IFERROR(SUMIFS('Completed Jobs'!$F$2:$F$92,'Completed Jobs'!$A$2:$A$92,$A13,'Completed Jobs'!$B$2:$B$92,G$4,'Completed Jobs'!$C$2:$C$92,"ok")/COUNTIFS('Completed Jobs'!$A$2:$A$92,$A13,'Completed Jobs'!$B$2:$B$92,G$4,'Completed Jobs'!$C$2:$C$92,"ok"),"")</x:f>
      </x:c>
      <x:c r="H13" s="63" t="n">
        <x:f>IFERROR(SUMIFS('Completed Jobs'!$F$2:$F$92,'Completed Jobs'!$A$2:$A$92,$A13,'Completed Jobs'!$B$2:$B$92,H$4,'Completed Jobs'!$C$2:$C$92,"ok")/COUNTIFS('Completed Jobs'!$A$2:$A$92,$A13,'Completed Jobs'!$B$2:$B$92,H$4,'Completed Jobs'!$C$2:$C$92,"ok"),"")</x:f>
        <x:v>0.009952614918782302</x:v>
      </x:c>
      <x:c r="I13" s="63" t="n">
        <x:f>IFERROR(SUMIFS('Completed Jobs'!$F$2:$F$92,'Completed Jobs'!$A$2:$A$92,$A13,'Completed Jobs'!$B$2:$B$92,I$4,'Completed Jobs'!$C$2:$C$92,"ok")/COUNTIFS('Completed Jobs'!$A$2:$A$92,$A13,'Completed Jobs'!$B$2:$B$92,I$4,'Completed Jobs'!$C$2:$C$92,"ok"),"")</x:f>
        <x:v>0.2777600583038859</x:v>
      </x:c>
      <x:c r="J13" s="63" t="n">
        <x:f>IFERROR(SUMIFS('Completed Jobs'!$F$2:$F$92,'Completed Jobs'!$A$2:$A$92,$A13,'Completed Jobs'!$B$2:$B$92,J$4,'Completed Jobs'!$C$2:$C$92,"ok")/COUNTIFS('Completed Jobs'!$A$2:$A$92,$A13,'Completed Jobs'!$B$2:$B$92,J$4,'Completed Jobs'!$C$2:$C$92,"ok"),"")</x:f>
        <x:v>0.25541838276119616</x:v>
      </x:c>
    </x:row>
    <x:row r="14">
      <x:c r="A14" s="50" t="str">
        <x:v>Samusik 07</x:v>
      </x:c>
      <x:c r="B14" s="63" t="n">
        <x:f>IFERROR(SUMIFS('Completed Jobs'!$F$2:$F$92,'Completed Jobs'!$A$2:$A$92,$A14,'Completed Jobs'!$B$2:$B$92,B$4,'Completed Jobs'!$C$2:$C$92,"ok")/COUNTIFS('Completed Jobs'!$A$2:$A$92,$A14,'Completed Jobs'!$B$2:$B$92,B$4,'Completed Jobs'!$C$2:$C$92,"ok"),"")</x:f>
        <x:v>0.007781229830245626</x:v>
      </x:c>
      <x:c r="C14" s="63" t="n">
        <x:f>IFERROR(SUMIFS('Completed Jobs'!$F$2:$F$92,'Completed Jobs'!$A$2:$A$92,$A14,'Completed Jobs'!$B$2:$B$92,C$4,'Completed Jobs'!$C$2:$C$92,"ok")/COUNTIFS('Completed Jobs'!$A$2:$A$92,$A14,'Completed Jobs'!$B$2:$B$92,C$4,'Completed Jobs'!$C$2:$C$92,"ok"),"")</x:f>
        <x:v>0.041634005346921</x:v>
      </x:c>
      <x:c r="D14" s="63" t="n">
        <x:f>IFERROR(SUMIFS('Completed Jobs'!$F$2:$F$92,'Completed Jobs'!$A$2:$A$92,$A14,'Completed Jobs'!$B$2:$B$92,D$4,'Completed Jobs'!$C$2:$C$92,"ok")/COUNTIFS('Completed Jobs'!$A$2:$A$92,$A14,'Completed Jobs'!$B$2:$B$92,D$4,'Completed Jobs'!$C$2:$C$92,"ok"),"")</x:f>
        <x:v>0.00037528312645899466</x:v>
      </x:c>
      <x:c r="E14" s="63" t="n">
        <x:f>IFERROR(SUMIFS('Completed Jobs'!$F$2:$F$92,'Completed Jobs'!$A$2:$A$92,$A14,'Completed Jobs'!$B$2:$B$92,E$4,'Completed Jobs'!$C$2:$C$92,"ok")/COUNTIFS('Completed Jobs'!$A$2:$A$92,$A14,'Completed Jobs'!$B$2:$B$92,E$4,'Completed Jobs'!$C$2:$C$92,"ok"),"")</x:f>
        <x:v>0.040078236012669986</x:v>
      </x:c>
      <x:c r="F14" s="63" t="n">
        <x:f>IFERROR(SUMIFS('Completed Jobs'!$F$2:$F$92,'Completed Jobs'!$A$2:$A$92,$A14,'Completed Jobs'!$B$2:$B$92,F$4,'Completed Jobs'!$C$2:$C$92,"ok")/COUNTIFS('Completed Jobs'!$A$2:$A$92,$A14,'Completed Jobs'!$B$2:$B$92,F$4,'Completed Jobs'!$C$2:$C$92,"ok"),"")</x:f>
        <x:v>0.041979520277311555</x:v>
      </x:c>
      <x:c r="G14" s="63" t="str">
        <x:f>IFERROR(SUMIFS('Completed Jobs'!$F$2:$F$92,'Completed Jobs'!$A$2:$A$92,$A14,'Completed Jobs'!$B$2:$B$92,G$4,'Completed Jobs'!$C$2:$C$92,"ok")/COUNTIFS('Completed Jobs'!$A$2:$A$92,$A14,'Completed Jobs'!$B$2:$B$92,G$4,'Completed Jobs'!$C$2:$C$92,"ok"),"")</x:f>
      </x:c>
      <x:c r="H14" s="63" t="n">
        <x:f>IFERROR(SUMIFS('Completed Jobs'!$F$2:$F$92,'Completed Jobs'!$A$2:$A$92,$A14,'Completed Jobs'!$B$2:$B$92,H$4,'Completed Jobs'!$C$2:$C$92,"ok")/COUNTIFS('Completed Jobs'!$A$2:$A$92,$A14,'Completed Jobs'!$B$2:$B$92,H$4,'Completed Jobs'!$C$2:$C$92,"ok"),"")</x:f>
        <x:v>0.007756038503061048</x:v>
      </x:c>
      <x:c r="I14" s="63" t="n">
        <x:f>IFERROR(SUMIFS('Completed Jobs'!$F$2:$F$92,'Completed Jobs'!$A$2:$A$92,$A14,'Completed Jobs'!$B$2:$B$92,I$4,'Completed Jobs'!$C$2:$C$92,"ok")/COUNTIFS('Completed Jobs'!$A$2:$A$92,$A14,'Completed Jobs'!$B$2:$B$92,I$4,'Completed Jobs'!$C$2:$C$92,"ok"),"")</x:f>
        <x:v>0.29134481408163687</x:v>
      </x:c>
      <x:c r="J14" s="63" t="n">
        <x:f>IFERROR(SUMIFS('Completed Jobs'!$F$2:$F$92,'Completed Jobs'!$A$2:$A$92,$A14,'Completed Jobs'!$B$2:$B$92,J$4,'Completed Jobs'!$C$2:$C$92,"ok")/COUNTIFS('Completed Jobs'!$A$2:$A$92,$A14,'Completed Jobs'!$B$2:$B$92,J$4,'Completed Jobs'!$C$2:$C$92,"ok"),"")</x:f>
        <x:v>0.22351772170654483</x:v>
      </x:c>
    </x:row>
    <x:row r="15">
      <x:c r="A15" s="50"/>
      <x:c r="B15" s="50"/>
      <x:c r="C15" s="50"/>
      <x:c r="D15" s="50"/>
      <x:c r="E15" s="50"/>
      <x:c r="F15" s="50"/>
      <x:c r="G15" s="50"/>
      <x:c r="H15" s="50"/>
      <x:c r="I15" s="50"/>
      <x:c r="J15" s="50"/>
    </x:row>
    <x:row r="16">
      <x:c r="A16" s="50"/>
      <x:c r="B16" s="50"/>
      <x:c r="C16" s="50"/>
      <x:c r="D16" s="50"/>
      <x:c r="E16" s="50"/>
      <x:c r="F16" s="50"/>
      <x:c r="G16" s="50"/>
      <x:c r="H16" s="50"/>
      <x:c r="I16" s="50"/>
      <x:c r="J16" s="50"/>
    </x:row>
    <x:row r="17">
      <x:c r="A17" s="64" t="str">
        <x:v>Execution status</x:v>
      </x:c>
      <x:c r="B17" s="64" t="str">
        <x:v>DBSCAN</x:v>
      </x:c>
      <x:c r="C17" s="64" t="str">
        <x:v>HDBSCAN</x:v>
      </x:c>
      <x:c r="D17" s="64" t="str">
        <x:v>OPTICS</x:v>
      </x:c>
      <x:c r="E17" s="64" t="str">
        <x:v>SNN-DBSCAN</x:v>
      </x:c>
      <x:c r="F17" s="64" t="str">
        <x:v>VDBSCAN-2007</x:v>
      </x:c>
      <x:c r="G17" s="64" t="str">
        <x:v>AMD-DBSCAN</x:v>
      </x:c>
      <x:c r="H17" s="64" t="str">
        <x:v>kNN-DBSCAN</x:v>
      </x:c>
      <x:c r="I17" s="64" t="str">
        <x:v>kNN+Leiden</x:v>
      </x:c>
      <x:c r="J17" s="64" t="str">
        <x:v>StrataSCAN</x:v>
      </x:c>
    </x:row>
    <x:row r="18">
      <x:c r="A18" s="50" t="str">
        <x:v>Levine</x:v>
      </x:c>
      <x:c r="B18" s="65" t="str">
        <x:v>ok</x:v>
      </x:c>
      <x:c r="C18" s="66" t="str">
        <x:v>timeout</x:v>
      </x:c>
      <x:c r="D18" s="65" t="str">
        <x:v>ok</x:v>
      </x:c>
      <x:c r="E18" s="65" t="str">
        <x:v>ok</x:v>
      </x:c>
      <x:c r="F18" s="65" t="str">
        <x:v>ok</x:v>
      </x:c>
      <x:c r="G18" s="67" t="str">
        <x:v>error</x:v>
      </x:c>
      <x:c r="H18" s="65" t="str">
        <x:v>ok</x:v>
      </x:c>
      <x:c r="I18" s="66" t="str">
        <x:v>timeout</x:v>
      </x:c>
      <x:c r="J18" s="65" t="str">
        <x:v>ok</x:v>
      </x:c>
    </x:row>
    <x:row r="19">
      <x:c r="A19" s="50" t="str">
        <x:v>Mosmann</x:v>
      </x:c>
      <x:c r="B19" s="65" t="str">
        <x:v>ok</x:v>
      </x:c>
      <x:c r="C19" s="66" t="str">
        <x:v>timeout</x:v>
      </x:c>
      <x:c r="D19" s="65" t="str">
        <x:v>ok</x:v>
      </x:c>
      <x:c r="E19" s="65" t="str">
        <x:v>ok</x:v>
      </x:c>
      <x:c r="F19" s="65" t="str">
        <x:v>ok</x:v>
      </x:c>
      <x:c r="G19" s="67" t="str">
        <x:v>error</x:v>
      </x:c>
      <x:c r="H19" s="65" t="str">
        <x:v>ok</x:v>
      </x:c>
      <x:c r="I19" s="66" t="str">
        <x:v>timeout</x:v>
      </x:c>
      <x:c r="J19" s="65" t="str">
        <x:v>ok</x:v>
      </x:c>
    </x:row>
    <x:row r="20">
      <x:c r="A20" s="50" t="str">
        <x:v>Nilsson</x:v>
      </x:c>
      <x:c r="B20" s="65" t="str">
        <x:v>ok</x:v>
      </x:c>
      <x:c r="C20" s="65" t="str">
        <x:v>ok</x:v>
      </x:c>
      <x:c r="D20" s="65" t="str">
        <x:v>ok</x:v>
      </x:c>
      <x:c r="E20" s="65" t="str">
        <x:v>ok</x:v>
      </x:c>
      <x:c r="F20" s="65" t="str">
        <x:v>ok</x:v>
      </x:c>
      <x:c r="G20" s="67" t="str">
        <x:v>error</x:v>
      </x:c>
      <x:c r="H20" s="65" t="str">
        <x:v>ok</x:v>
      </x:c>
      <x:c r="I20" s="65" t="str">
        <x:v>ok</x:v>
      </x:c>
      <x:c r="J20" s="65" t="str">
        <x:v>ok</x:v>
      </x:c>
    </x:row>
    <x:row r="21">
      <x:c r="A21" s="50" t="str">
        <x:v>Samusik 01</x:v>
      </x:c>
      <x:c r="B21" s="65" t="str">
        <x:v>ok</x:v>
      </x:c>
      <x:c r="C21" s="65" t="str">
        <x:v>ok</x:v>
      </x:c>
      <x:c r="D21" s="65" t="str">
        <x:v>ok</x:v>
      </x:c>
      <x:c r="E21" s="65" t="str">
        <x:v>ok</x:v>
      </x:c>
      <x:c r="F21" s="68" t="str">
        <x:v>memory_limit</x:v>
      </x:c>
      <x:c r="G21" s="67" t="str">
        <x:v>error</x:v>
      </x:c>
      <x:c r="H21" s="65" t="str">
        <x:v>ok</x:v>
      </x:c>
      <x:c r="I21" s="65" t="str">
        <x:v>ok</x:v>
      </x:c>
      <x:c r="J21" s="65" t="str">
        <x:v>ok</x:v>
      </x:c>
    </x:row>
    <x:row r="22">
      <x:c r="A22" s="50" t="str">
        <x:v>Samusik 02</x:v>
      </x:c>
      <x:c r="B22" s="65" t="str">
        <x:v>ok</x:v>
      </x:c>
      <x:c r="C22" s="65" t="str">
        <x:v>ok</x:v>
      </x:c>
      <x:c r="D22" s="65" t="str">
        <x:v>ok</x:v>
      </x:c>
      <x:c r="E22" s="65" t="str">
        <x:v>ok</x:v>
      </x:c>
      <x:c r="F22" s="65" t="str">
        <x:v>ok</x:v>
      </x:c>
      <x:c r="G22" s="67" t="str">
        <x:v>error</x:v>
      </x:c>
      <x:c r="H22" s="65" t="str">
        <x:v>ok</x:v>
      </x:c>
      <x:c r="I22" s="65" t="str">
        <x:v>ok</x:v>
      </x:c>
      <x:c r="J22" s="65" t="str">
        <x:v>ok</x:v>
      </x:c>
    </x:row>
    <x:row r="23">
      <x:c r="A23" s="50" t="str">
        <x:v>Samusik 03</x:v>
      </x:c>
      <x:c r="B23" s="65" t="str">
        <x:v>ok</x:v>
      </x:c>
      <x:c r="C23" s="65" t="str">
        <x:v>ok</x:v>
      </x:c>
      <x:c r="D23" s="65" t="str">
        <x:v>ok</x:v>
      </x:c>
      <x:c r="E23" s="65" t="str">
        <x:v>ok</x:v>
      </x:c>
      <x:c r="F23" s="65" t="str">
        <x:v>ok</x:v>
      </x:c>
      <x:c r="G23" s="67" t="str">
        <x:v>error</x:v>
      </x:c>
      <x:c r="H23" s="65" t="str">
        <x:v>ok</x:v>
      </x:c>
      <x:c r="I23" s="65" t="str">
        <x:v>ok</x:v>
      </x:c>
      <x:c r="J23" s="65" t="str">
        <x:v>ok</x:v>
      </x:c>
    </x:row>
    <x:row r="24">
      <x:c r="A24" s="50" t="str">
        <x:v>Samusik 04</x:v>
      </x:c>
      <x:c r="B24" s="65" t="str">
        <x:v>ok</x:v>
      </x:c>
      <x:c r="C24" s="65" t="str">
        <x:v>ok</x:v>
      </x:c>
      <x:c r="D24" s="65" t="str">
        <x:v>ok</x:v>
      </x:c>
      <x:c r="E24" s="65" t="str">
        <x:v>ok</x:v>
      </x:c>
      <x:c r="F24" s="65" t="str">
        <x:v>ok</x:v>
      </x:c>
      <x:c r="G24" s="67" t="str">
        <x:v>error</x:v>
      </x:c>
      <x:c r="H24" s="65" t="str">
        <x:v>ok</x:v>
      </x:c>
      <x:c r="I24" s="65" t="str">
        <x:v>ok</x:v>
      </x:c>
      <x:c r="J24" s="65" t="str">
        <x:v>ok</x:v>
      </x:c>
    </x:row>
    <x:row r="25">
      <x:c r="A25" s="50" t="str">
        <x:v>Samusik 05</x:v>
      </x:c>
      <x:c r="B25" s="65" t="str">
        <x:v>ok</x:v>
      </x:c>
      <x:c r="C25" s="65" t="str">
        <x:v>ok</x:v>
      </x:c>
      <x:c r="D25" s="65" t="str">
        <x:v>ok</x:v>
      </x:c>
      <x:c r="E25" s="65" t="str">
        <x:v>ok</x:v>
      </x:c>
      <x:c r="F25" s="65" t="str">
        <x:v>ok</x:v>
      </x:c>
      <x:c r="G25" s="67" t="str">
        <x:v>error</x:v>
      </x:c>
      <x:c r="H25" s="65" t="str">
        <x:v>ok</x:v>
      </x:c>
      <x:c r="I25" s="65" t="str">
        <x:v>ok</x:v>
      </x:c>
      <x:c r="J25" s="65" t="str">
        <x:v>ok</x:v>
      </x:c>
    </x:row>
    <x:row r="26">
      <x:c r="A26" s="50" t="str">
        <x:v>Samusik 06</x:v>
      </x:c>
      <x:c r="B26" s="65" t="str">
        <x:v>ok</x:v>
      </x:c>
      <x:c r="C26" s="65" t="str">
        <x:v>ok</x:v>
      </x:c>
      <x:c r="D26" s="65" t="str">
        <x:v>ok</x:v>
      </x:c>
      <x:c r="E26" s="65" t="str">
        <x:v>ok</x:v>
      </x:c>
      <x:c r="F26" s="65" t="str">
        <x:v>ok</x:v>
      </x:c>
      <x:c r="G26" s="67" t="str">
        <x:v>error</x:v>
      </x:c>
      <x:c r="H26" s="65" t="str">
        <x:v>ok</x:v>
      </x:c>
      <x:c r="I26" s="65" t="str">
        <x:v>ok</x:v>
      </x:c>
      <x:c r="J26" s="65" t="str">
        <x:v>ok</x:v>
      </x:c>
    </x:row>
    <x:row r="27">
      <x:c r="A27" s="69" t="str">
        <x:v>Samusik 07</x:v>
      </x:c>
      <x:c r="B27" s="70" t="str">
        <x:v>ok</x:v>
      </x:c>
      <x:c r="C27" s="70" t="str">
        <x:v>ok</x:v>
      </x:c>
      <x:c r="D27" s="70" t="str">
        <x:v>ok</x:v>
      </x:c>
      <x:c r="E27" s="70" t="str">
        <x:v>ok</x:v>
      </x:c>
      <x:c r="F27" s="70" t="str">
        <x:v>ok</x:v>
      </x:c>
      <x:c r="G27" s="71" t="str">
        <x:v>error</x:v>
      </x:c>
      <x:c r="H27" s="70" t="str">
        <x:v>ok</x:v>
      </x:c>
      <x:c r="I27" s="70" t="str">
        <x:v>ok</x:v>
      </x:c>
      <x:c r="J27" s="70" t="str">
        <x:v>ok</x:v>
      </x:c>
    </x:row>
  </x:sheetData>
  <x:mergeCells>
    <x:mergeCell ref="A1:J1"/>
    <x:mergeCell ref="A2:J2"/>
  </x:mergeCells>
  <x:conditionalFormatting sqref="B5:J14">
    <x:cfRule type="colorScale" priority="1">
      <x:colorScale>
        <x:cfvo type="min"/>
        <x:cfvo type="percentile" val="50"/>
        <x:cfvo type="max"/>
        <x:color rgb="FFF6C7C7"/>
        <x:color rgb="FFFFF0B3"/>
        <x:color rgb="FFBFE3C8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5" hidden="0" customWidth="1"/>
    <x:col min="3" max="3" width="9.75" hidden="0" customWidth="1"/>
    <x:col min="4" max="4" width="9.380000114440918" hidden="0" customWidth="1"/>
    <x:col min="5" max="5" width="9.380000114440918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3.75" hidden="0" customWidth="1"/>
    <x:col min="12" max="12" width="13.75" hidden="0" customWidth="1"/>
    <x:col min="13" max="13" width="13.75" hidden="0" customWidth="1"/>
    <x:col min="14" max="14" width="11.5" hidden="0" customWidth="1"/>
    <x:col min="15" max="15" width="11.5" hidden="0" customWidth="1"/>
    <x:col min="16" max="16" width="11.880000114440918" hidden="0" customWidth="1"/>
    <x:col min="17" max="17" width="45" hidden="0" customWidth="1"/>
    <x:col min="18" max="18" width="11.5" hidden="0" customWidth="1"/>
    <x:col min="19" max="19" width="39.380001068115234" hidden="0" customWidth="1"/>
    <x:col min="20" max="20" width="18.75" hidden="0" customWidth="1"/>
  </x:cols>
  <x:sheetData>
    <x:row r="1">
      <x:c r="A1" s="5" t="str">
        <x:v>Dataset</x:v>
      </x:c>
      <x:c r="B1" s="5" t="str">
        <x:v>Method</x:v>
      </x:c>
      <x:c r="C1" s="5" t="str">
        <x:v>Status</x:v>
      </x:c>
      <x:c r="D1" s="5" t="str">
        <x:v>n</x:v>
      </x:c>
      <x:c r="E1" s="5" t="str">
        <x:v>Dimension</x:v>
      </x:c>
      <x:c r="F1" s="5" t="str">
        <x:v>Macro target F1</x:v>
      </x:c>
      <x:c r="G1" s="5" t="str">
        <x:v>Target discovery rate</x:v>
      </x:c>
      <x:c r="H1" s="5" t="str">
        <x:v>Macro target purity</x:v>
      </x:c>
      <x:c r="I1" s="5" t="str">
        <x:v>Macro target coverage</x:v>
      </x:c>
      <x:c r="J1" s="5" t="str">
        <x:v>Pairwise F1</x:v>
      </x:c>
      <x:c r="K1" s="5" t="str">
        <x:v>Predicted clusters</x:v>
      </x:c>
      <x:c r="L1" s="5" t="str">
        <x:v>Target count</x:v>
      </x:c>
      <x:c r="M1" s="5" t="str">
        <x:v>Background abstention F1 (diagnostic)</x:v>
      </x:c>
      <x:c r="N1" s="5" t="str">
        <x:v>Runtime seconds</x:v>
      </x:c>
      <x:c r="O1" s="5" t="str">
        <x:v>Peak RSS MB</x:v>
      </x:c>
      <x:c r="P1" s="5" t="str">
        <x:v>Error type</x:v>
      </x:c>
      <x:c r="Q1" s="5" t="str">
        <x:v>Error message</x:v>
      </x:c>
      <x:c r="R1" s="5" t="str">
        <x:v>Balanced comparison set (1=yes)</x:v>
      </x:c>
      <x:c r="S1" s="5" t="str">
        <x:v>Job ID</x:v>
      </x:c>
      <x:c r="T1" s="5" t="str">
        <x:v>Completed at</x:v>
      </x:c>
    </x:row>
    <x:row r="2">
      <x:c r="A2" s="15" t="str">
        <x:v>Levine</x:v>
      </x:c>
      <x:c r="B2" s="15" t="str">
        <x:v>DBSCAN</x:v>
      </x:c>
      <x:c r="C2" s="30" t="str">
        <x:v>ok</x:v>
      </x:c>
      <x:c r="D2" s="16" t="n">
        <x:v>265627</x:v>
      </x:c>
      <x:c r="E2" s="16" t="n">
        <x:v>32</x:v>
      </x:c>
      <x:c r="F2" s="17" t="n">
        <x:v>0.035747756351159246</x:v>
      </x:c>
      <x:c r="G2" s="17" t="n">
        <x:v>0</x:v>
      </x:c>
      <x:c r="H2" s="17" t="n">
        <x:v>0.2503068138077978</x:v>
      </x:c>
      <x:c r="I2" s="17" t="n">
        <x:v>0.023830411878713813</x:v>
      </x:c>
      <x:c r="J2" s="17" t="n">
        <x:v>0.027797671936252603</x:v>
      </x:c>
      <x:c r="K2" s="18" t="n">
        <x:v>176</x:v>
      </x:c>
      <x:c r="L2" s="18" t="n">
        <x:v>14</x:v>
      </x:c>
      <x:c r="M2" s="17" t="n">
        <x:v>0.7433815122108536</x:v>
      </x:c>
      <x:c r="N2" s="18" t="n">
        <x:v>272.4106880999989</x:v>
      </x:c>
      <x:c r="O2" s="18" t="n">
        <x:v>459.2734375</x:v>
      </x:c>
      <x:c r="P2" s="15"/>
      <x:c r="Q2" s="38"/>
      <x:c r="R2" s="31" t="n">
        <x:v>1</x:v>
      </x:c>
      <x:c r="S2" s="15" t="str">
        <x:v>cytometry__levine__DBSCAN__42__1b620d8e1e9f</x:v>
      </x:c>
      <x:c r="T2" s="19" t="n">
        <x:v>46250.73484826389</x:v>
      </x:c>
    </x:row>
    <x:row r="3">
      <x:c r="A3" s="20" t="str">
        <x:v>Levine</x:v>
      </x:c>
      <x:c r="B3" s="20" t="str">
        <x:v>HDBSCAN</x:v>
      </x:c>
      <x:c r="C3" s="32" t="str">
        <x:v>timeout</x:v>
      </x:c>
      <x:c r="D3" s="21"/>
      <x:c r="E3" s="21"/>
      <x:c r="F3" s="22"/>
      <x:c r="G3" s="22"/>
      <x:c r="H3" s="22"/>
      <x:c r="I3" s="22"/>
      <x:c r="J3" s="22"/>
      <x:c r="K3" s="23"/>
      <x:c r="L3" s="23"/>
      <x:c r="M3" s="22"/>
      <x:c r="N3" s="23" t="n">
        <x:v>1800.0752594999994</x:v>
      </x:c>
      <x:c r="O3" s="23" t="n">
        <x:v>420.3671875</x:v>
      </x:c>
      <x:c r="P3" s="20"/>
      <x:c r="Q3" s="39" t="str">
        <x:v>timeout_seconds=1800</x:v>
      </x:c>
      <x:c r="R3" s="33" t="n">
        <x:v>1</x:v>
      </x:c>
      <x:c r="S3" s="20" t="str">
        <x:v>cytometry__levine__HDBSCAN__42__af5ec1001eac</x:v>
      </x:c>
      <x:c r="T3" s="24" t="n">
        <x:v>46250.75568248842</x:v>
      </x:c>
    </x:row>
    <x:row r="4">
      <x:c r="A4" s="20" t="str">
        <x:v>Levine</x:v>
      </x:c>
      <x:c r="B4" s="20" t="str">
        <x:v>OPTICS</x:v>
      </x:c>
      <x:c r="C4" s="34" t="str">
        <x:v>ok</x:v>
      </x:c>
      <x:c r="D4" s="21" t="n">
        <x:v>265627</x:v>
      </x:c>
      <x:c r="E4" s="21" t="n">
        <x:v>32</x:v>
      </x:c>
      <x:c r="F4" s="22" t="n">
        <x:v>0.0041412982859919106</x:v>
      </x:c>
      <x:c r="G4" s="22" t="n">
        <x:v>0</x:v>
      </x:c>
      <x:c r="H4" s="22" t="n">
        <x:v>0.3495699004239377</x:v>
      </x:c>
      <x:c r="I4" s="22" t="n">
        <x:v>0.002113274886417844</x:v>
      </x:c>
      <x:c r="J4" s="22" t="n">
        <x:v>0.000005818292932381946</x:v>
      </x:c>
      <x:c r="K4" s="23" t="n">
        <x:v>209</x:v>
      </x:c>
      <x:c r="L4" s="23" t="n">
        <x:v>14</x:v>
      </x:c>
      <x:c r="M4" s="22" t="n">
        <x:v>0.7544907360546492</x:v>
      </x:c>
      <x:c r="N4" s="23" t="n">
        <x:v>1082.5678255999992</x:v>
      </x:c>
      <x:c r="O4" s="23" t="n">
        <x:v>488.80078125</x:v>
      </x:c>
      <x:c r="P4" s="20"/>
      <x:c r="Q4" s="39"/>
      <x:c r="R4" s="33" t="n">
        <x:v>1</x:v>
      </x:c>
      <x:c r="S4" s="20" t="str">
        <x:v>cytometry__levine__OPTICS__42__8bd2fa82d081</x:v>
      </x:c>
      <x:c r="T4" s="24" t="n">
        <x:v>46250.76821239584</x:v>
      </x:c>
    </x:row>
    <x:row r="5">
      <x:c r="A5" s="20" t="str">
        <x:v>Levine</x:v>
      </x:c>
      <x:c r="B5" s="20" t="str">
        <x:v>SNN-DBSCAN</x:v>
      </x:c>
      <x:c r="C5" s="34" t="str">
        <x:v>ok</x:v>
      </x:c>
      <x:c r="D5" s="21" t="n">
        <x:v>265627</x:v>
      </x:c>
      <x:c r="E5" s="21" t="n">
        <x:v>32</x:v>
      </x:c>
      <x:c r="F5" s="22" t="n">
        <x:v>0.008755058359845604</x:v>
      </x:c>
      <x:c r="G5" s="22" t="n">
        <x:v>0</x:v>
      </x:c>
      <x:c r="H5" s="22" t="n">
        <x:v>0.4704895001478852</x:v>
      </x:c>
      <x:c r="I5" s="22" t="n">
        <x:v>0.004476767725374743</x:v>
      </x:c>
      <x:c r="J5" s="22" t="n">
        <x:v>0.000004969862591392037</x:v>
      </x:c>
      <x:c r="K5" s="23" t="n">
        <x:v>434</x:v>
      </x:c>
      <x:c r="L5" s="23" t="n">
        <x:v>14</x:v>
      </x:c>
      <x:c r="M5" s="22" t="n">
        <x:v>0.752721419197689</x:v>
      </x:c>
      <x:c r="N5" s="23" t="n">
        <x:v>31.205048599998918</x:v>
      </x:c>
      <x:c r="O5" s="23" t="n">
        <x:v>456.33203125</x:v>
      </x:c>
      <x:c r="P5" s="20"/>
      <x:c r="Q5" s="39"/>
      <x:c r="R5" s="33" t="n">
        <x:v>1</x:v>
      </x:c>
      <x:c r="S5" s="20" t="str">
        <x:v>cytometry__levine__SNN-DBSCAN__42__2feca8188f52</x:v>
      </x:c>
      <x:c r="T5" s="24" t="n">
        <x:v>46250.768573726855</x:v>
      </x:c>
    </x:row>
    <x:row r="6">
      <x:c r="A6" s="20" t="str">
        <x:v>Levine</x:v>
      </x:c>
      <x:c r="B6" s="20" t="str">
        <x:v>VDBSCAN-2007</x:v>
      </x:c>
      <x:c r="C6" s="34" t="str">
        <x:v>ok</x:v>
      </x:c>
      <x:c r="D6" s="21" t="n">
        <x:v>265627</x:v>
      </x:c>
      <x:c r="E6" s="21" t="n">
        <x:v>32</x:v>
      </x:c>
      <x:c r="F6" s="22" t="n">
        <x:v>0.016620347149773024</x:v>
      </x:c>
      <x:c r="G6" s="22" t="n">
        <x:v>0</x:v>
      </x:c>
      <x:c r="H6" s="22" t="n">
        <x:v>0.296553171687879</x:v>
      </x:c>
      <x:c r="I6" s="22" t="n">
        <x:v>0.0719274043746594</x:v>
      </x:c>
      <x:c r="J6" s="22" t="n">
        <x:v>0.05705932815354301</x:v>
      </x:c>
      <x:c r="K6" s="23" t="n">
        <x:v>45</x:v>
      </x:c>
      <x:c r="L6" s="23" t="n">
        <x:v>14</x:v>
      </x:c>
      <x:c r="M6" s="22" t="n">
        <x:v>0.19080090340514247</x:v>
      </x:c>
      <x:c r="N6" s="23" t="n">
        <x:v>667.0221773000012</x:v>
      </x:c>
      <x:c r="O6" s="23" t="n">
        <x:v>7659.0859375</x:v>
      </x:c>
      <x:c r="P6" s="20"/>
      <x:c r="Q6" s="39"/>
      <x:c r="R6" s="33" t="n">
        <x:v>1</x:v>
      </x:c>
      <x:c r="S6" s="20" t="str">
        <x:v>cytometry__levine__VDBSCAN-2007__42__da0f45a21224</x:v>
      </x:c>
      <x:c r="T6" s="24" t="n">
        <x:v>46250.77629410879</x:v>
      </x:c>
    </x:row>
    <x:row r="7">
      <x:c r="A7" s="20" t="str">
        <x:v>Levine</x:v>
      </x:c>
      <x:c r="B7" s="20" t="str">
        <x:v>AMD-DBSCAN</x:v>
      </x:c>
      <x:c r="C7" s="35" t="str">
        <x:v>error</x:v>
      </x:c>
      <x:c r="D7" s="21"/>
      <x:c r="E7" s="21"/>
      <x:c r="F7" s="22"/>
      <x:c r="G7" s="22"/>
      <x:c r="H7" s="22"/>
      <x:c r="I7" s="22"/>
      <x:c r="J7" s="22"/>
      <x:c r="K7" s="23"/>
      <x:c r="L7" s="23"/>
      <x:c r="M7" s="22"/>
      <x:c r="N7" s="23" t="n">
        <x:v>6.718273700000282</x:v>
      </x:c>
      <x:c r="O7" s="23" t="n">
        <x:v>459.26953125</x:v>
      </x:c>
      <x:c r="P7" s="20" t="str">
        <x:v>MemoryError</x:v>
      </x:c>
      <x:c r="Q7" s="39" t="str">
        <x:v>Unable to allocate 526. GiB for an array with shape (265627, 265627) and data type float64</x:v>
      </x:c>
      <x:c r="R7" s="33" t="n">
        <x:v>1</x:v>
      </x:c>
      <x:c r="S7" s="20" t="str">
        <x:v>cytometry__levine__AMD-DBSCAN__42__f607f8322bd3</x:v>
      </x:c>
      <x:c r="T7" s="24" t="n">
        <x:v>46250.77637206019</x:v>
      </x:c>
    </x:row>
    <x:row r="8">
      <x:c r="A8" s="20" t="str">
        <x:v>Levine</x:v>
      </x:c>
      <x:c r="B8" s="20" t="str">
        <x:v>kNN-DBSCAN</x:v>
      </x:c>
      <x:c r="C8" s="34" t="str">
        <x:v>ok</x:v>
      </x:c>
      <x:c r="D8" s="21" t="n">
        <x:v>265627</x:v>
      </x:c>
      <x:c r="E8" s="21" t="n">
        <x:v>32</x:v>
      </x:c>
      <x:c r="F8" s="22" t="n">
        <x:v>0.03254349226869472</x:v>
      </x:c>
      <x:c r="G8" s="22" t="n">
        <x:v>0</x:v>
      </x:c>
      <x:c r="H8" s="22" t="n">
        <x:v>0.24917879722070582</x:v>
      </x:c>
      <x:c r="I8" s="22" t="n">
        <x:v>0.021771160879964307</x:v>
      </x:c>
      <x:c r="J8" s="22" t="n">
        <x:v>0.02611577108749287</x:v>
      </x:c>
      <x:c r="K8" s="23" t="n">
        <x:v>239</x:v>
      </x:c>
      <x:c r="L8" s="23" t="n">
        <x:v>14</x:v>
      </x:c>
      <x:c r="M8" s="22" t="n">
        <x:v>0.743399628175593</x:v>
      </x:c>
      <x:c r="N8" s="23" t="n">
        <x:v>28.364824500000395</x:v>
      </x:c>
      <x:c r="O8" s="23" t="n">
        <x:v>424.1171875</x:v>
      </x:c>
      <x:c r="P8" s="20"/>
      <x:c r="Q8" s="39"/>
      <x:c r="R8" s="33" t="n">
        <x:v>1</x:v>
      </x:c>
      <x:c r="S8" s="20" t="str">
        <x:v>cytometry__levine__kNN-DBSCAN__42__93c56fa33c2d</x:v>
      </x:c>
      <x:c r="T8" s="24" t="n">
        <x:v>46250.77670050926</x:v>
      </x:c>
    </x:row>
    <x:row r="9">
      <x:c r="A9" s="20" t="str">
        <x:v>Levine</x:v>
      </x:c>
      <x:c r="B9" s="20" t="str">
        <x:v>kNN+Leiden</x:v>
      </x:c>
      <x:c r="C9" s="32" t="str">
        <x:v>timeout</x:v>
      </x:c>
      <x:c r="D9" s="21"/>
      <x:c r="E9" s="21"/>
      <x:c r="F9" s="22"/>
      <x:c r="G9" s="22"/>
      <x:c r="H9" s="22"/>
      <x:c r="I9" s="22"/>
      <x:c r="J9" s="22"/>
      <x:c r="K9" s="23"/>
      <x:c r="L9" s="23"/>
      <x:c r="M9" s="22"/>
      <x:c r="N9" s="23" t="n">
        <x:v>1800.6828319000015</x:v>
      </x:c>
      <x:c r="O9" s="23" t="n">
        <x:v>1644.046875</x:v>
      </x:c>
      <x:c r="P9" s="20"/>
      <x:c r="Q9" s="39" t="str">
        <x:v>timeout_seconds=1800</x:v>
      </x:c>
      <x:c r="R9" s="33" t="n">
        <x:v>1</x:v>
      </x:c>
      <x:c r="S9" s="20" t="str">
        <x:v>cytometry__levine__kNN+Leiden__42__20db2966ce2f</x:v>
      </x:c>
      <x:c r="T9" s="24" t="n">
        <x:v>46250.79754186342</x:v>
      </x:c>
    </x:row>
    <x:row r="10">
      <x:c r="A10" s="20" t="str">
        <x:v>Levine</x:v>
      </x:c>
      <x:c r="B10" s="20" t="str">
        <x:v>StrataSCAN</x:v>
      </x:c>
      <x:c r="C10" s="34" t="str">
        <x:v>ok</x:v>
      </x:c>
      <x:c r="D10" s="21" t="n">
        <x:v>265627</x:v>
      </x:c>
      <x:c r="E10" s="21" t="n">
        <x:v>32</x:v>
      </x:c>
      <x:c r="F10" s="22" t="n">
        <x:v>0.1901834180369206</x:v>
      </x:c>
      <x:c r="G10" s="22" t="n">
        <x:v>0</x:v>
      </x:c>
      <x:c r="H10" s="22" t="n">
        <x:v>0.3756439121923103</x:v>
      </x:c>
      <x:c r="I10" s="22" t="n">
        <x:v>0.138726280459387</x:v>
      </x:c>
      <x:c r="J10" s="22" t="n">
        <x:v>0.09013904972181702</x:v>
      </x:c>
      <x:c r="K10" s="23" t="n">
        <x:v>4254</x:v>
      </x:c>
      <x:c r="L10" s="23" t="n">
        <x:v>14</x:v>
      </x:c>
      <x:c r="M10" s="22" t="n">
        <x:v>0.5377370903072566</x:v>
      </x:c>
      <x:c r="N10" s="23" t="n">
        <x:v>109.79672870000286</x:v>
      </x:c>
      <x:c r="O10" s="23" t="n">
        <x:v>1079.3828125</x:v>
      </x:c>
      <x:c r="P10" s="20"/>
      <x:c r="Q10" s="39"/>
      <x:c r="R10" s="33" t="n">
        <x:v>1</x:v>
      </x:c>
      <x:c r="S10" s="20" t="str">
        <x:v>cytometry__levine__StrataSCAN__42__6d70f365c79e</x:v>
      </x:c>
      <x:c r="T10" s="24" t="n">
        <x:v>46250.79881731481</x:v>
      </x:c>
    </x:row>
    <x:row r="11">
      <x:c r="A11" s="20" t="str">
        <x:v>Mosmann</x:v>
      </x:c>
      <x:c r="B11" s="20" t="str">
        <x:v>DBSCAN</x:v>
      </x:c>
      <x:c r="C11" s="34" t="str">
        <x:v>ok</x:v>
      </x:c>
      <x:c r="D11" s="21" t="n">
        <x:v>396460</x:v>
      </x:c>
      <x:c r="E11" s="21" t="n">
        <x:v>7</x:v>
      </x:c>
      <x:c r="F11" s="22" t="n">
        <x:v>0</x:v>
      </x:c>
      <x:c r="G11" s="22" t="n">
        <x:v>0</x:v>
      </x:c>
      <x:c r="H11" s="22" t="n">
        <x:v>0</x:v>
      </x:c>
      <x:c r="I11" s="22" t="n">
        <x:v>0</x:v>
      </x:c>
      <x:c r="J11" s="22" t="n">
        <x:v>0</x:v>
      </x:c>
      <x:c r="K11" s="23" t="n">
        <x:v>1906</x:v>
      </x:c>
      <x:c r="L11" s="23" t="n">
        <x:v>1</x:v>
      </x:c>
      <x:c r="M11" s="22" t="n">
        <x:v>0.9419296986130274</x:v>
      </x:c>
      <x:c r="N11" s="23" t="n">
        <x:v>133.72407910000038</x:v>
      </x:c>
      <x:c r="O11" s="23" t="n">
        <x:v>399.35546875</x:v>
      </x:c>
      <x:c r="P11" s="20"/>
      <x:c r="Q11" s="39"/>
      <x:c r="R11" s="33" t="n">
        <x:v>1</x:v>
      </x:c>
      <x:c r="S11" s="20" t="str">
        <x:v>cytometry__mosmann__DBSCAN__42__0df1e78247f9</x:v>
      </x:c>
      <x:c r="T11" s="24" t="n">
        <x:v>46250.8003652662</x:v>
      </x:c>
    </x:row>
    <x:row r="12">
      <x:c r="A12" s="20" t="str">
        <x:v>Mosmann</x:v>
      </x:c>
      <x:c r="B12" s="20" t="str">
        <x:v>HDBSCAN</x:v>
      </x:c>
      <x:c r="C12" s="32" t="str">
        <x:v>timeout</x:v>
      </x:c>
      <x:c r="D12" s="21"/>
      <x:c r="E12" s="21"/>
      <x:c r="F12" s="22"/>
      <x:c r="G12" s="22"/>
      <x:c r="H12" s="22"/>
      <x:c r="I12" s="22"/>
      <x:c r="J12" s="22"/>
      <x:c r="K12" s="23"/>
      <x:c r="L12" s="23"/>
      <x:c r="M12" s="22"/>
      <x:c r="N12" s="23" t="n">
        <x:v>1800.1584175000025</x:v>
      </x:c>
      <x:c r="O12" s="23" t="n">
        <x:v>412</x:v>
      </x:c>
      <x:c r="P12" s="20"/>
      <x:c r="Q12" s="39" t="str">
        <x:v>timeout_seconds=1800</x:v>
      </x:c>
      <x:c r="R12" s="33" t="n">
        <x:v>1</x:v>
      </x:c>
      <x:c r="S12" s="20" t="str">
        <x:v>cytometry__mosmann__HDBSCAN__42__f11b0e5546d6</x:v>
      </x:c>
      <x:c r="T12" s="24" t="n">
        <x:v>46250.82120049769</x:v>
      </x:c>
    </x:row>
    <x:row r="13">
      <x:c r="A13" s="20" t="str">
        <x:v>Mosmann</x:v>
      </x:c>
      <x:c r="B13" s="20" t="str">
        <x:v>OPTICS</x:v>
      </x:c>
      <x:c r="C13" s="34" t="str">
        <x:v>ok</x:v>
      </x:c>
      <x:c r="D13" s="21" t="n">
        <x:v>396460</x:v>
      </x:c>
      <x:c r="E13" s="21" t="n">
        <x:v>7</x:v>
      </x:c>
      <x:c r="F13" s="22" t="n">
        <x:v>0</x:v>
      </x:c>
      <x:c r="G13" s="22" t="n">
        <x:v>0</x:v>
      </x:c>
      <x:c r="H13" s="22" t="n">
        <x:v>0</x:v>
      </x:c>
      <x:c r="I13" s="22" t="n">
        <x:v>0</x:v>
      </x:c>
      <x:c r="J13" s="22" t="n">
        <x:v>0</x:v>
      </x:c>
      <x:c r="K13" s="23" t="n">
        <x:v>715</x:v>
      </x:c>
      <x:c r="L13" s="23" t="n">
        <x:v>1</x:v>
      </x:c>
      <x:c r="M13" s="22" t="n">
        <x:v>0.9901848288298843</x:v>
      </x:c>
      <x:c r="N13" s="23" t="n">
        <x:v>930.2384089000006</x:v>
      </x:c>
      <x:c r="O13" s="23" t="n">
        <x:v>436.79296875</x:v>
      </x:c>
      <x:c r="P13" s="20"/>
      <x:c r="Q13" s="39"/>
      <x:c r="R13" s="33" t="n">
        <x:v>1</x:v>
      </x:c>
      <x:c r="S13" s="20" t="str">
        <x:v>cytometry__mosmann__OPTICS__42__1b443ea3eb91</x:v>
      </x:c>
      <x:c r="T13" s="24" t="n">
        <x:v>46250.831967349535</x:v>
      </x:c>
    </x:row>
    <x:row r="14">
      <x:c r="A14" s="20" t="str">
        <x:v>Mosmann</x:v>
      </x:c>
      <x:c r="B14" s="20" t="str">
        <x:v>SNN-DBSCAN</x:v>
      </x:c>
      <x:c r="C14" s="34" t="str">
        <x:v>ok</x:v>
      </x:c>
      <x:c r="D14" s="21" t="n">
        <x:v>396460</x:v>
      </x:c>
      <x:c r="E14" s="21" t="n">
        <x:v>7</x:v>
      </x:c>
      <x:c r="F14" s="22" t="n">
        <x:v>0.27906976744186046</x:v>
      </x:c>
      <x:c r="G14" s="22" t="n">
        <x:v>1</x:v>
      </x:c>
      <x:c r="H14" s="22" t="n">
        <x:v>0.9</x:v>
      </x:c>
      <x:c r="I14" s="22" t="n">
        <x:v>0.1651376146788991</x:v>
      </x:c>
      <x:c r="J14" s="22" t="n">
        <x:v>0.0211740981402644</x:v>
      </x:c>
      <x:c r="K14" s="23" t="n">
        <x:v>146</x:v>
      </x:c>
      <x:c r="L14" s="23" t="n">
        <x:v>1</x:v>
      </x:c>
      <x:c r="M14" s="22" t="n">
        <x:v>0.9981906032670225</x:v>
      </x:c>
      <x:c r="N14" s="23" t="n">
        <x:v>38.74172340000223</x:v>
      </x:c>
      <x:c r="O14" s="23" t="n">
        <x:v>460.421875</x:v>
      </x:c>
      <x:c r="P14" s="20"/>
      <x:c r="Q14" s="39"/>
      <x:c r="R14" s="33" t="n">
        <x:v>1</x:v>
      </x:c>
      <x:c r="S14" s="20" t="str">
        <x:v>cytometry__mosmann__SNN-DBSCAN__42__9beaadc0c022</x:v>
      </x:c>
      <x:c r="T14" s="24" t="n">
        <x:v>46250.832415902776</x:v>
      </x:c>
    </x:row>
    <x:row r="15">
      <x:c r="A15" s="20" t="str">
        <x:v>Mosmann</x:v>
      </x:c>
      <x:c r="B15" s="20" t="str">
        <x:v>VDBSCAN-2007</x:v>
      </x:c>
      <x:c r="C15" s="34" t="str">
        <x:v>ok</x:v>
      </x:c>
      <x:c r="D15" s="21" t="n">
        <x:v>396460</x:v>
      </x:c>
      <x:c r="E15" s="21" t="n">
        <x:v>7</x:v>
      </x:c>
      <x:c r="F15" s="22" t="n">
        <x:v>0.00008206834104319804</x:v>
      </x:c>
      <x:c r="G15" s="22" t="n">
        <x:v>0</x:v>
      </x:c>
      <x:c r="H15" s="22" t="n">
        <x:v>0.00004104640980735552</x:v>
      </x:c>
      <x:c r="I15" s="22" t="n">
        <x:v>0.13761467889908258</x:v>
      </x:c>
      <x:c r="J15" s="22" t="n">
        <x:v>3.1449662552438852e-9</x:v>
      </x:c>
      <x:c r="K15" s="23" t="n">
        <x:v>174</x:v>
      </x:c>
      <x:c r="L15" s="23" t="n">
        <x:v>1</x:v>
      </x:c>
      <x:c r="M15" s="22" t="n">
        <x:v>0.13623146844434836</x:v>
      </x:c>
      <x:c r="N15" s="23" t="n">
        <x:v>362.7388639000019</x:v>
      </x:c>
      <x:c r="O15" s="23" t="n">
        <x:v>1236.78125</x:v>
      </x:c>
      <x:c r="P15" s="20"/>
      <x:c r="Q15" s="39"/>
      <x:c r="R15" s="33" t="n">
        <x:v>1</x:v>
      </x:c>
      <x:c r="S15" s="20" t="str">
        <x:v>cytometry__mosmann__VDBSCAN-2007__42__19aeede4a30a</x:v>
      </x:c>
      <x:c r="T15" s="24" t="n">
        <x:v>46250.83661445602</x:v>
      </x:c>
    </x:row>
    <x:row r="16">
      <x:c r="A16" s="20" t="str">
        <x:v>Mosmann</x:v>
      </x:c>
      <x:c r="B16" s="20" t="str">
        <x:v>AMD-DBSCAN</x:v>
      </x:c>
      <x:c r="C16" s="35" t="str">
        <x:v>error</x:v>
      </x:c>
      <x:c r="D16" s="21"/>
      <x:c r="E16" s="21"/>
      <x:c r="F16" s="22"/>
      <x:c r="G16" s="22"/>
      <x:c r="H16" s="22"/>
      <x:c r="I16" s="22"/>
      <x:c r="J16" s="22"/>
      <x:c r="K16" s="23"/>
      <x:c r="L16" s="23"/>
      <x:c r="M16" s="22"/>
      <x:c r="N16" s="23" t="n">
        <x:v>5.25609970000005</x:v>
      </x:c>
      <x:c r="O16" s="23" t="n">
        <x:v>388.86328125</x:v>
      </x:c>
      <x:c r="P16" s="20" t="str">
        <x:v>MemoryError</x:v>
      </x:c>
      <x:c r="Q16" s="39" t="str">
        <x:v>Unable to allocate 1.14 TiB for an array with shape (396460, 396460) and data type float64</x:v>
      </x:c>
      <x:c r="R16" s="33" t="n">
        <x:v>1</x:v>
      </x:c>
      <x:c r="S16" s="20" t="str">
        <x:v>cytometry__mosmann__AMD-DBSCAN__42__22b28dc4d484</x:v>
      </x:c>
      <x:c r="T16" s="24" t="n">
        <x:v>46250.83667547454</x:v>
      </x:c>
    </x:row>
    <x:row r="17">
      <x:c r="A17" s="20" t="str">
        <x:v>Mosmann</x:v>
      </x:c>
      <x:c r="B17" s="20" t="str">
        <x:v>kNN-DBSCAN</x:v>
      </x:c>
      <x:c r="C17" s="34" t="str">
        <x:v>ok</x:v>
      </x:c>
      <x:c r="D17" s="21" t="n">
        <x:v>396460</x:v>
      </x:c>
      <x:c r="E17" s="21" t="n">
        <x:v>7</x:v>
      </x:c>
      <x:c r="F17" s="22" t="n">
        <x:v>0</x:v>
      </x:c>
      <x:c r="G17" s="22" t="n">
        <x:v>0</x:v>
      </x:c>
      <x:c r="H17" s="22" t="n">
        <x:v>0</x:v>
      </x:c>
      <x:c r="I17" s="22" t="n">
        <x:v>0</x:v>
      </x:c>
      <x:c r="J17" s="22" t="n">
        <x:v>0</x:v>
      </x:c>
      <x:c r="K17" s="23" t="n">
        <x:v>2009</x:v>
      </x:c>
      <x:c r="L17" s="23" t="n">
        <x:v>1</x:v>
      </x:c>
      <x:c r="M17" s="22" t="n">
        <x:v>0.9419212272283278</x:v>
      </x:c>
      <x:c r="N17" s="23" t="n">
        <x:v>34.8500959999983</x:v>
      </x:c>
      <x:c r="O17" s="23" t="n">
        <x:v>379.51171875</x:v>
      </x:c>
      <x:c r="P17" s="20"/>
      <x:c r="Q17" s="39"/>
      <x:c r="R17" s="33" t="n">
        <x:v>1</x:v>
      </x:c>
      <x:c r="S17" s="20" t="str">
        <x:v>cytometry__mosmann__kNN-DBSCAN__42__5bfe751fce9b</x:v>
      </x:c>
      <x:c r="T17" s="24" t="n">
        <x:v>46250.83707903935</x:v>
      </x:c>
    </x:row>
    <x:row r="18">
      <x:c r="A18" s="20" t="str">
        <x:v>Mosmann</x:v>
      </x:c>
      <x:c r="B18" s="20" t="str">
        <x:v>kNN+Leiden</x:v>
      </x:c>
      <x:c r="C18" s="32" t="str">
        <x:v>timeout</x:v>
      </x:c>
      <x:c r="D18" s="21"/>
      <x:c r="E18" s="21"/>
      <x:c r="F18" s="22"/>
      <x:c r="G18" s="22"/>
      <x:c r="H18" s="22"/>
      <x:c r="I18" s="22"/>
      <x:c r="J18" s="22"/>
      <x:c r="K18" s="23"/>
      <x:c r="L18" s="23"/>
      <x:c r="M18" s="22"/>
      <x:c r="N18" s="23" t="n">
        <x:v>1800.4607633999985</x:v>
      </x:c>
      <x:c r="O18" s="23" t="n">
        <x:v>2019.65234375</x:v>
      </x:c>
      <x:c r="P18" s="20"/>
      <x:c r="Q18" s="39" t="str">
        <x:v>timeout_seconds=1800</x:v>
      </x:c>
      <x:c r="R18" s="33" t="n">
        <x:v>1</x:v>
      </x:c>
      <x:c r="S18" s="20" t="str">
        <x:v>cytometry__mosmann__kNN+Leiden__42__7a9b4edcb799</x:v>
      </x:c>
      <x:c r="T18" s="24" t="n">
        <x:v>46250.8579177662</x:v>
      </x:c>
    </x:row>
    <x:row r="19">
      <x:c r="A19" s="20" t="str">
        <x:v>Mosmann</x:v>
      </x:c>
      <x:c r="B19" s="20" t="str">
        <x:v>StrataSCAN</x:v>
      </x:c>
      <x:c r="C19" s="34" t="str">
        <x:v>ok</x:v>
      </x:c>
      <x:c r="D19" s="21" t="n">
        <x:v>396460</x:v>
      </x:c>
      <x:c r="E19" s="21" t="n">
        <x:v>7</x:v>
      </x:c>
      <x:c r="F19" s="22" t="n">
        <x:v>0.0018351402635118882</x:v>
      </x:c>
      <x:c r="G19" s="22" t="n">
        <x:v>0</x:v>
      </x:c>
      <x:c r="H19" s="22" t="n">
        <x:v>0.0009184619774575545</x:v>
      </x:c>
      <x:c r="I19" s="22" t="n">
        <x:v>0.944954128440367</x:v>
      </x:c>
      <x:c r="J19" s="22" t="n">
        <x:v>8.34388953474588e-7</x:v>
      </x:c>
      <x:c r="K19" s="23" t="n">
        <x:v>207</x:v>
      </x:c>
      <x:c r="L19" s="23" t="n">
        <x:v>1</x:v>
      </x:c>
      <x:c r="M19" s="22" t="n">
        <x:v>0.08956561975822779</x:v>
      </x:c>
      <x:c r="N19" s="23" t="n">
        <x:v>501.6985409000008</x:v>
      </x:c>
      <x:c r="O19" s="23" t="n">
        <x:v>681.734375</x:v>
      </x:c>
      <x:c r="P19" s="20"/>
      <x:c r="Q19" s="39"/>
      <x:c r="R19" s="33" t="n">
        <x:v>1</x:v>
      </x:c>
      <x:c r="S19" s="20" t="str">
        <x:v>cytometry__mosmann__StrataSCAN__42__8f39669324bc</x:v>
      </x:c>
      <x:c r="T19" s="24" t="n">
        <x:v>46250.863737685184</x:v>
      </x:c>
    </x:row>
    <x:row r="20">
      <x:c r="A20" s="20" t="str">
        <x:v>Nilsson</x:v>
      </x:c>
      <x:c r="B20" s="20" t="str">
        <x:v>DBSCAN</x:v>
      </x:c>
      <x:c r="C20" s="34" t="str">
        <x:v>ok</x:v>
      </x:c>
      <x:c r="D20" s="21" t="n">
        <x:v>44140</x:v>
      </x:c>
      <x:c r="E20" s="21" t="n">
        <x:v>13</x:v>
      </x:c>
      <x:c r="F20" s="22" t="n">
        <x:v>0</x:v>
      </x:c>
      <x:c r="G20" s="22" t="n">
        <x:v>0</x:v>
      </x:c>
      <x:c r="H20" s="22" t="n">
        <x:v>0</x:v>
      </x:c>
      <x:c r="I20" s="22" t="n">
        <x:v>0</x:v>
      </x:c>
      <x:c r="J20" s="22" t="n">
        <x:v>0</x:v>
      </x:c>
      <x:c r="K20" s="23" t="n">
        <x:v>107</x:v>
      </x:c>
      <x:c r="L20" s="23" t="n">
        <x:v>1</x:v>
      </x:c>
      <x:c r="M20" s="22" t="n">
        <x:v>0.9363599122870431</x:v>
      </x:c>
      <x:c r="N20" s="23" t="n">
        <x:v>108.26566660000026</x:v>
      </x:c>
      <x:c r="O20" s="23" t="n">
        <x:v>210.0859375</x:v>
      </x:c>
      <x:c r="P20" s="20"/>
      <x:c r="Q20" s="39"/>
      <x:c r="R20" s="33" t="n">
        <x:v>1</x:v>
      </x:c>
      <x:c r="S20" s="20" t="str">
        <x:v>cytometry__nilsson__DBSCAN__42__54f9af2f7c87</x:v>
      </x:c>
      <x:c r="T20" s="24" t="n">
        <x:v>46250.8649924537</x:v>
      </x:c>
    </x:row>
    <x:row r="21">
      <x:c r="A21" s="20" t="str">
        <x:v>Nilsson</x:v>
      </x:c>
      <x:c r="B21" s="20" t="str">
        <x:v>HDBSCAN</x:v>
      </x:c>
      <x:c r="C21" s="34" t="str">
        <x:v>ok</x:v>
      </x:c>
      <x:c r="D21" s="21" t="n">
        <x:v>44140</x:v>
      </x:c>
      <x:c r="E21" s="21" t="n">
        <x:v>13</x:v>
      </x:c>
      <x:c r="F21" s="22" t="n">
        <x:v>0.10363790186125212</x:v>
      </x:c>
      <x:c r="G21" s="22" t="n">
        <x:v>0</x:v>
      </x:c>
      <x:c r="H21" s="22" t="n">
        <x:v>0.05606407322654462</x:v>
      </x:c>
      <x:c r="I21" s="22" t="n">
        <x:v>0.6843575418994413</x:v>
      </x:c>
      <x:c r="J21" s="22" t="n">
        <x:v>0.0002944285389341897</x:v>
      </x:c>
      <x:c r="K21" s="23" t="n">
        <x:v>28</x:v>
      </x:c>
      <x:c r="L21" s="23" t="n">
        <x:v>1</x:v>
      </x:c>
      <x:c r="M21" s="22" t="n">
        <x:v>0.39379243452958296</x:v>
      </x:c>
      <x:c r="N21" s="23" t="n">
        <x:v>134.34561149999718</x:v>
      </x:c>
      <x:c r="O21" s="23" t="n">
        <x:v>211.06640625</x:v>
      </x:c>
      <x:c r="P21" s="20"/>
      <x:c r="Q21" s="39"/>
      <x:c r="R21" s="33" t="n">
        <x:v>1</x:v>
      </x:c>
      <x:c r="S21" s="20" t="str">
        <x:v>cytometry__nilsson__HDBSCAN__42__f884ed111827</x:v>
      </x:c>
      <x:c r="T21" s="24" t="n">
        <x:v>46250.866550266204</x:v>
      </x:c>
    </x:row>
    <x:row r="22">
      <x:c r="A22" s="20" t="str">
        <x:v>Nilsson</x:v>
      </x:c>
      <x:c r="B22" s="20" t="str">
        <x:v>OPTICS</x:v>
      </x:c>
      <x:c r="C22" s="34" t="str">
        <x:v>ok</x:v>
      </x:c>
      <x:c r="D22" s="21" t="n">
        <x:v>44140</x:v>
      </x:c>
      <x:c r="E22" s="21" t="n">
        <x:v>13</x:v>
      </x:c>
      <x:c r="F22" s="22" t="n">
        <x:v>0</x:v>
      </x:c>
      <x:c r="G22" s="22" t="n">
        <x:v>0</x:v>
      </x:c>
      <x:c r="H22" s="22" t="n">
        <x:v>0</x:v>
      </x:c>
      <x:c r="I22" s="22" t="n">
        <x:v>0</x:v>
      </x:c>
      <x:c r="J22" s="22" t="n">
        <x:v>0</x:v>
      </x:c>
      <x:c r="K22" s="23" t="n">
        <x:v>35</x:v>
      </x:c>
      <x:c r="L22" s="23" t="n">
        <x:v>1</x:v>
      </x:c>
      <x:c r="M22" s="22" t="n">
        <x:v>0.9917194906059049</x:v>
      </x:c>
      <x:c r="N22" s="23" t="n">
        <x:v>137.62184269999852</x:v>
      </x:c>
      <x:c r="O22" s="23" t="n">
        <x:v>208.40625</x:v>
      </x:c>
      <x:c r="P22" s="20"/>
      <x:c r="Q22" s="39"/>
      <x:c r="R22" s="33" t="n">
        <x:v>1</x:v>
      </x:c>
      <x:c r="S22" s="20" t="str">
        <x:v>cytometry__nilsson__OPTICS__42__c890bb1415e4</x:v>
      </x:c>
      <x:c r="T22" s="24" t="n">
        <x:v>46250.868144328706</x:v>
      </x:c>
    </x:row>
    <x:row r="23">
      <x:c r="A23" s="20" t="str">
        <x:v>Nilsson</x:v>
      </x:c>
      <x:c r="B23" s="20" t="str">
        <x:v>SNN-DBSCAN</x:v>
      </x:c>
      <x:c r="C23" s="34" t="str">
        <x:v>ok</x:v>
      </x:c>
      <x:c r="D23" s="21" t="n">
        <x:v>44140</x:v>
      </x:c>
      <x:c r="E23" s="21" t="n">
        <x:v>13</x:v>
      </x:c>
      <x:c r="F23" s="22" t="n">
        <x:v>0.05907172995780591</x:v>
      </x:c>
      <x:c r="G23" s="22" t="n">
        <x:v>0</x:v>
      </x:c>
      <x:c r="H23" s="22" t="n">
        <x:v>0.1206896551724138</x:v>
      </x:c>
      <x:c r="I23" s="22" t="n">
        <x:v>0.03910614525139665</x:v>
      </x:c>
      <x:c r="J23" s="22" t="n">
        <x:v>0.003838034926117828</x:v>
      </x:c>
      <x:c r="K23" s="23" t="n">
        <x:v>102</x:v>
      </x:c>
      <x:c r="L23" s="23" t="n">
        <x:v>1</x:v>
      </x:c>
      <x:c r="M23" s="22" t="n">
        <x:v>0.9798306888097331</x:v>
      </x:c>
      <x:c r="N23" s="23" t="n">
        <x:v>39.13207049999983</x:v>
      </x:c>
      <x:c r="O23" s="23" t="n">
        <x:v>246.28515625</x:v>
      </x:c>
      <x:c r="P23" s="20"/>
      <x:c r="Q23" s="39"/>
      <x:c r="R23" s="33" t="n">
        <x:v>1</x:v>
      </x:c>
      <x:c r="S23" s="20" t="str">
        <x:v>cytometry__nilsson__SNN-DBSCAN__42__11252d6b5568</x:v>
      </x:c>
      <x:c r="T23" s="24" t="n">
        <x:v>46250.86860434028</x:v>
      </x:c>
    </x:row>
    <x:row r="24">
      <x:c r="A24" s="20" t="str">
        <x:v>Nilsson</x:v>
      </x:c>
      <x:c r="B24" s="20" t="str">
        <x:v>VDBSCAN-2007</x:v>
      </x:c>
      <x:c r="C24" s="34" t="str">
        <x:v>ok</x:v>
      </x:c>
      <x:c r="D24" s="21" t="n">
        <x:v>44140</x:v>
      </x:c>
      <x:c r="E24" s="21" t="n">
        <x:v>13</x:v>
      </x:c>
      <x:c r="F24" s="22" t="n">
        <x:v>0.01915798055086473</x:v>
      </x:c>
      <x:c r="G24" s="22" t="n">
        <x:v>0</x:v>
      </x:c>
      <x:c r="H24" s="22" t="n">
        <x:v>0.009679887018947864</x:v>
      </x:c>
      <x:c r="I24" s="22" t="n">
        <x:v>0.9189944134078212</x:v>
      </x:c>
      <x:c r="J24" s="22" t="n">
        <x:v>0.00018369906991545134</x:v>
      </x:c>
      <x:c r="K24" s="23" t="n">
        <x:v>27</x:v>
      </x:c>
      <x:c r="L24" s="23" t="n">
        <x:v>1</x:v>
      </x:c>
      <x:c r="M24" s="22" t="n">
        <x:v>0.1283913693655202</x:v>
      </x:c>
      <x:c r="N24" s="23" t="n">
        <x:v>121.38516159999926</x:v>
      </x:c>
      <x:c r="O24" s="23" t="n">
        <x:v>233.67578125</x:v>
      </x:c>
      <x:c r="P24" s="20"/>
      <x:c r="Q24" s="39"/>
      <x:c r="R24" s="33" t="n">
        <x:v>1</x:v>
      </x:c>
      <x:c r="S24" s="20" t="str">
        <x:v>cytometry__nilsson__VDBSCAN-2007__42__36409ff32243</x:v>
      </x:c>
      <x:c r="T24" s="24" t="n">
        <x:v>46250.87001086806</x:v>
      </x:c>
    </x:row>
    <x:row r="25">
      <x:c r="A25" s="20" t="str">
        <x:v>Nilsson</x:v>
      </x:c>
      <x:c r="B25" s="20" t="str">
        <x:v>AMD-DBSCAN</x:v>
      </x:c>
      <x:c r="C25" s="35" t="str">
        <x:v>error</x:v>
      </x:c>
      <x:c r="D25" s="21"/>
      <x:c r="E25" s="21"/>
      <x:c r="F25" s="22"/>
      <x:c r="G25" s="22"/>
      <x:c r="H25" s="22"/>
      <x:c r="I25" s="22"/>
      <x:c r="J25" s="22"/>
      <x:c r="K25" s="23"/>
      <x:c r="L25" s="23"/>
      <x:c r="M25" s="22"/>
      <x:c r="N25" s="23" t="n">
        <x:v>220.55283749999944</x:v>
      </x:c>
      <x:c r="O25" s="23" t="n">
        <x:v>2954.67578125</x:v>
      </x:c>
      <x:c r="P25" s="20" t="str">
        <x:v>MemoryError</x:v>
      </x:c>
      <x:c r="Q25" s="39" t="str">
        <x:v>Unable to allocate 14.5 GiB for an array with shape (44140, 44140) and data type float64</x:v>
      </x:c>
      <x:c r="R25" s="33" t="n">
        <x:v>1</x:v>
      </x:c>
      <x:c r="S25" s="20" t="str">
        <x:v>cytometry__nilsson__AMD-DBSCAN__42__52ce754b5638</x:v>
      </x:c>
      <x:c r="T25" s="24" t="n">
        <x:v>46250.87257028935</x:v>
      </x:c>
    </x:row>
    <x:row r="26">
      <x:c r="A26" s="20" t="str">
        <x:v>Nilsson</x:v>
      </x:c>
      <x:c r="B26" s="20" t="str">
        <x:v>kNN-DBSCAN</x:v>
      </x:c>
      <x:c r="C26" s="34" t="str">
        <x:v>ok</x:v>
      </x:c>
      <x:c r="D26" s="21" t="n">
        <x:v>44140</x:v>
      </x:c>
      <x:c r="E26" s="21" t="n">
        <x:v>13</x:v>
      </x:c>
      <x:c r="F26" s="22" t="n">
        <x:v>0</x:v>
      </x:c>
      <x:c r="G26" s="22" t="n">
        <x:v>0</x:v>
      </x:c>
      <x:c r="H26" s="22" t="n">
        <x:v>0</x:v>
      </x:c>
      <x:c r="I26" s="22" t="n">
        <x:v>0</x:v>
      </x:c>
      <x:c r="J26" s="22" t="n">
        <x:v>0</x:v>
      </x:c>
      <x:c r="K26" s="23" t="n">
        <x:v>119</x:v>
      </x:c>
      <x:c r="L26" s="23" t="n">
        <x:v>1</x:v>
      </x:c>
      <x:c r="M26" s="22" t="n">
        <x:v>0.9363599122870431</x:v>
      </x:c>
      <x:c r="N26" s="23" t="n">
        <x:v>37.383847299999616</x:v>
      </x:c>
      <x:c r="O26" s="23" t="n">
        <x:v>203.89453125</x:v>
      </x:c>
      <x:c r="P26" s="20"/>
      <x:c r="Q26" s="39"/>
      <x:c r="R26" s="33" t="n">
        <x:v>1</x:v>
      </x:c>
      <x:c r="S26" s="20" t="str">
        <x:v>cytometry__nilsson__kNN-DBSCAN__42__320e79b5b0db</x:v>
      </x:c>
      <x:c r="T26" s="24" t="n">
        <x:v>46250.87300774306</x:v>
      </x:c>
    </x:row>
    <x:row r="27">
      <x:c r="A27" s="20" t="str">
        <x:v>Nilsson</x:v>
      </x:c>
      <x:c r="B27" s="20" t="str">
        <x:v>kNN+Leiden</x:v>
      </x:c>
      <x:c r="C27" s="34" t="str">
        <x:v>ok</x:v>
      </x:c>
      <x:c r="D27" s="21" t="n">
        <x:v>44140</x:v>
      </x:c>
      <x:c r="E27" s="21" t="n">
        <x:v>13</x:v>
      </x:c>
      <x:c r="F27" s="22" t="n">
        <x:v>0.1327469012395042</x:v>
      </x:c>
      <x:c r="G27" s="22" t="n">
        <x:v>0</x:v>
      </x:c>
      <x:c r="H27" s="22" t="n">
        <x:v>0.0714900947459087</x:v>
      </x:c>
      <x:c r="I27" s="22" t="n">
        <x:v>0.9273743016759777</x:v>
      </x:c>
      <x:c r="J27" s="22" t="n">
        <x:v>0.0009471237472224335</x:v>
      </x:c>
      <x:c r="K27" s="23" t="n">
        <x:v>13</x:v>
      </x:c>
      <x:c r="L27" s="23" t="n">
        <x:v>1</x:v>
      </x:c>
      <x:c r="M27" s="22" t="n">
        <x:v>0</x:v>
      </x:c>
      <x:c r="N27" s="23" t="n">
        <x:v>55.384141499998805</x:v>
      </x:c>
      <x:c r="O27" s="23" t="n">
        <x:v>430.1640625</x:v>
      </x:c>
      <x:c r="P27" s="20"/>
      <x:c r="Q27" s="39"/>
      <x:c r="R27" s="33" t="n">
        <x:v>1</x:v>
      </x:c>
      <x:c r="S27" s="20" t="str">
        <x:v>cytometry__nilsson__kNN+Leiden__42__d0379597881c</x:v>
      </x:c>
      <x:c r="T27" s="24" t="n">
        <x:v>46250.87365136574</x:v>
      </x:c>
    </x:row>
    <x:row r="28">
      <x:c r="A28" s="20" t="str">
        <x:v>Nilsson</x:v>
      </x:c>
      <x:c r="B28" s="20" t="str">
        <x:v>StrataSCAN</x:v>
      </x:c>
      <x:c r="C28" s="34" t="str">
        <x:v>ok</x:v>
      </x:c>
      <x:c r="D28" s="21" t="n">
        <x:v>44140</x:v>
      </x:c>
      <x:c r="E28" s="21" t="n">
        <x:v>13</x:v>
      </x:c>
      <x:c r="F28" s="22" t="n">
        <x:v>0.5168800931315483</x:v>
      </x:c>
      <x:c r="G28" s="22" t="n">
        <x:v>0</x:v>
      </x:c>
      <x:c r="H28" s="22" t="n">
        <x:v>0.4431137724550898</x:v>
      </x:c>
      <x:c r="I28" s="22" t="n">
        <x:v>0.6201117318435754</x:v>
      </x:c>
      <x:c r="J28" s="22" t="n">
        <x:v>0.00030114660691207205</x:v>
      </x:c>
      <x:c r="K28" s="23" t="n">
        <x:v>198</x:v>
      </x:c>
      <x:c r="L28" s="23" t="n">
        <x:v>1</x:v>
      </x:c>
      <x:c r="M28" s="22" t="n">
        <x:v>0.2948396257610239</x:v>
      </x:c>
      <x:c r="N28" s="23" t="n">
        <x:v>64.2264283000004</x:v>
      </x:c>
      <x:c r="O28" s="23" t="n">
        <x:v>359.44921875</x:v>
      </x:c>
      <x:c r="P28" s="20"/>
      <x:c r="Q28" s="39"/>
      <x:c r="R28" s="33" t="n">
        <x:v>1</x:v>
      </x:c>
      <x:c r="S28" s="20" t="str">
        <x:v>cytometry__nilsson__StrataSCAN__42__14c640fad6b9</x:v>
      </x:c>
      <x:c r="T28" s="24" t="n">
        <x:v>46250.87439787037</x:v>
      </x:c>
    </x:row>
    <x:row r="29">
      <x:c r="A29" s="20" t="str">
        <x:v>Samusik 01</x:v>
      </x:c>
      <x:c r="B29" s="20" t="str">
        <x:v>DBSCAN</x:v>
      </x:c>
      <x:c r="C29" s="34" t="str">
        <x:v>ok</x:v>
      </x:c>
      <x:c r="D29" s="21" t="n">
        <x:v>86864</x:v>
      </x:c>
      <x:c r="E29" s="21" t="n">
        <x:v>39</x:v>
      </x:c>
      <x:c r="F29" s="22" t="n">
        <x:v>0.013732728199306111</x:v>
      </x:c>
      <x:c r="G29" s="22" t="n">
        <x:v>0</x:v>
      </x:c>
      <x:c r="H29" s="22" t="n">
        <x:v>0.14631603478048258</x:v>
      </x:c>
      <x:c r="I29" s="22" t="n">
        <x:v>0.010319520201322967</x:v>
      </x:c>
      <x:c r="J29" s="22" t="n">
        <x:v>0.04202790860533537</x:v>
      </x:c>
      <x:c r="K29" s="23" t="n">
        <x:v>16</x:v>
      </x:c>
      <x:c r="L29" s="23" t="n">
        <x:v>24</x:v>
      </x:c>
      <x:c r="M29" s="22" t="n">
        <x:v>0.5409827376009329</x:v>
      </x:c>
      <x:c r="N29" s="23" t="n">
        <x:v>173.50616540000192</x:v>
      </x:c>
      <x:c r="O29" s="23" t="n">
        <x:v>234.3828125</x:v>
      </x:c>
      <x:c r="P29" s="20"/>
      <x:c r="Q29" s="39"/>
      <x:c r="R29" s="33" t="n">
        <x:v>1</x:v>
      </x:c>
      <x:c r="S29" s="20" t="str">
        <x:v>cytometry__samusik_01__DBSCAN__42__e5126b5322ce</x:v>
      </x:c>
      <x:c r="T29" s="24" t="n">
        <x:v>46250.87640836806</x:v>
      </x:c>
    </x:row>
    <x:row r="30">
      <x:c r="A30" s="20" t="str">
        <x:v>Samusik 01</x:v>
      </x:c>
      <x:c r="B30" s="20" t="str">
        <x:v>HDBSCAN</x:v>
      </x:c>
      <x:c r="C30" s="34" t="str">
        <x:v>ok</x:v>
      </x:c>
      <x:c r="D30" s="21" t="n">
        <x:v>86864</x:v>
      </x:c>
      <x:c r="E30" s="21" t="n">
        <x:v>39</x:v>
      </x:c>
      <x:c r="F30" s="22" t="n">
        <x:v>0.01715493245739011</x:v>
      </x:c>
      <x:c r="G30" s="22" t="n">
        <x:v>0</x:v>
      </x:c>
      <x:c r="H30" s="22" t="n">
        <x:v>0.04030824337424623</x:v>
      </x:c>
      <x:c r="I30" s="22" t="n">
        <x:v>0.04442109598789922</x:v>
      </x:c>
      <x:c r="J30" s="22" t="n">
        <x:v>0.12485251826712992</x:v>
      </x:c>
      <x:c r="K30" s="23" t="n">
        <x:v>2</x:v>
      </x:c>
      <x:c r="L30" s="23" t="n">
        <x:v>24</x:v>
      </x:c>
      <x:c r="M30" s="22" t="n">
        <x:v>0.14056907886387288</x:v>
      </x:c>
      <x:c r="N30" s="23" t="n">
        <x:v>1405.0992664000005</x:v>
      </x:c>
      <x:c r="O30" s="23" t="n">
        <x:v>248.6640625</x:v>
      </x:c>
      <x:c r="P30" s="20"/>
      <x:c r="Q30" s="39"/>
      <x:c r="R30" s="33" t="n">
        <x:v>1</x:v>
      </x:c>
      <x:c r="S30" s="20" t="str">
        <x:v>cytometry__samusik_01__HDBSCAN__42__26c58bb2326c</x:v>
      </x:c>
      <x:c r="T30" s="24" t="n">
        <x:v>46250.89267158565</x:v>
      </x:c>
    </x:row>
    <x:row r="31">
      <x:c r="A31" s="20" t="str">
        <x:v>Samusik 01</x:v>
      </x:c>
      <x:c r="B31" s="20" t="str">
        <x:v>OPTICS</x:v>
      </x:c>
      <x:c r="C31" s="34" t="str">
        <x:v>ok</x:v>
      </x:c>
      <x:c r="D31" s="21" t="n">
        <x:v>86864</x:v>
      </x:c>
      <x:c r="E31" s="21" t="n">
        <x:v>39</x:v>
      </x:c>
      <x:c r="F31" s="22" t="n">
        <x:v>0.0005518763796909492</x:v>
      </x:c>
      <x:c r="G31" s="22" t="n">
        <x:v>0</x:v>
      </x:c>
      <x:c r="H31" s="22" t="n">
        <x:v>0.008333333333333333</x:v>
      </x:c>
      <x:c r="I31" s="22" t="n">
        <x:v>0.00028538812785388126</x:v>
      </x:c>
      <x:c r="J31" s="22" t="n">
        <x:v>8.695684234522743e-9</x:v>
      </x:c>
      <x:c r="K31" s="23" t="n">
        <x:v>2</x:v>
      </x:c>
      <x:c r="L31" s="23" t="n">
        <x:v>24</x:v>
      </x:c>
      <x:c r="M31" s="22" t="n">
        <x:v>0.5586658923089687</x:v>
      </x:c>
      <x:c r="N31" s="23" t="n">
        <x:v>299.49475600000005</x:v>
      </x:c>
      <x:c r="O31" s="23" t="n">
        <x:v>252.734375</x:v>
      </x:c>
      <x:c r="P31" s="20"/>
      <x:c r="Q31" s="39"/>
      <x:c r="R31" s="33" t="n">
        <x:v>1</x:v>
      </x:c>
      <x:c r="S31" s="20" t="str">
        <x:v>cytometry__samusik_01__OPTICS__42__c657181b3e34</x:v>
      </x:c>
      <x:c r="T31" s="24" t="n">
        <x:v>46250.896138564814</x:v>
      </x:c>
    </x:row>
    <x:row r="32">
      <x:c r="A32" s="20" t="str">
        <x:v>Samusik 01</x:v>
      </x:c>
      <x:c r="B32" s="20" t="str">
        <x:v>SNN-DBSCAN</x:v>
      </x:c>
      <x:c r="C32" s="34" t="str">
        <x:v>ok</x:v>
      </x:c>
      <x:c r="D32" s="21" t="n">
        <x:v>86864</x:v>
      </x:c>
      <x:c r="E32" s="21" t="n">
        <x:v>39</x:v>
      </x:c>
      <x:c r="F32" s="22" t="n">
        <x:v>0.03201790833095184</x:v>
      </x:c>
      <x:c r="G32" s="22" t="n">
        <x:v>0</x:v>
      </x:c>
      <x:c r="H32" s="22" t="n">
        <x:v>0.324610088985089</x:v>
      </x:c>
      <x:c r="I32" s="22" t="n">
        <x:v>0.01838349602947049</x:v>
      </x:c>
      <x:c r="J32" s="22" t="n">
        <x:v>0.0000033651774920042577</x:v>
      </x:c>
      <x:c r="K32" s="23" t="n">
        <x:v>40</x:v>
      </x:c>
      <x:c r="L32" s="23" t="n">
        <x:v>24</x:v>
      </x:c>
      <x:c r="M32" s="22" t="n">
        <x:v>0.5548522503914449</x:v>
      </x:c>
      <x:c r="N32" s="23" t="n">
        <x:v>48.6583830999989</x:v>
      </x:c>
      <x:c r="O32" s="23" t="n">
        <x:v>334.890625</x:v>
      </x:c>
      <x:c r="P32" s="20"/>
      <x:c r="Q32" s="39"/>
      <x:c r="R32" s="33" t="n">
        <x:v>1</x:v>
      </x:c>
      <x:c r="S32" s="20" t="str">
        <x:v>cytometry__samusik_01__SNN-DBSCAN__42__354776f28f30</x:v>
      </x:c>
      <x:c r="T32" s="24" t="n">
        <x:v>46250.896702349535</x:v>
      </x:c>
    </x:row>
    <x:row r="33">
      <x:c r="A33" s="20" t="str">
        <x:v>Samusik 01</x:v>
      </x:c>
      <x:c r="B33" s="20" t="str">
        <x:v>VDBSCAN-2007</x:v>
      </x:c>
      <x:c r="C33" s="36" t="str">
        <x:v>memory_limit</x:v>
      </x:c>
      <x:c r="D33" s="21"/>
      <x:c r="E33" s="21"/>
      <x:c r="F33" s="22"/>
      <x:c r="G33" s="22"/>
      <x:c r="H33" s="22"/>
      <x:c r="I33" s="22"/>
      <x:c r="J33" s="22"/>
      <x:c r="K33" s="23"/>
      <x:c r="L33" s="23"/>
      <x:c r="M33" s="22"/>
      <x:c r="N33" s="23" t="n">
        <x:v>87.83057969999936</x:v>
      </x:c>
      <x:c r="O33" s="23" t="n">
        <x:v>8194.04296875</x:v>
      </x:c>
      <x:c r="P33" s="20"/>
      <x:c r="Q33" s="39" t="str">
        <x:v>peak_rss_mb=8194.043; limit_mb=8192</x:v>
      </x:c>
      <x:c r="R33" s="33" t="n">
        <x:v>1</x:v>
      </x:c>
      <x:c r="S33" s="20" t="str">
        <x:v>cytometry__samusik_01__VDBSCAN-2007__42__8ec67efeb42b</x:v>
      </x:c>
      <x:c r="T33" s="24" t="n">
        <x:v>46250.89771898148</x:v>
      </x:c>
    </x:row>
    <x:row r="34">
      <x:c r="A34" s="20" t="str">
        <x:v>Samusik 01</x:v>
      </x:c>
      <x:c r="B34" s="20" t="str">
        <x:v>AMD-DBSCAN</x:v>
      </x:c>
      <x:c r="C34" s="35" t="str">
        <x:v>error</x:v>
      </x:c>
      <x:c r="D34" s="21"/>
      <x:c r="E34" s="21"/>
      <x:c r="F34" s="22"/>
      <x:c r="G34" s="22"/>
      <x:c r="H34" s="22"/>
      <x:c r="I34" s="22"/>
      <x:c r="J34" s="22"/>
      <x:c r="K34" s="23"/>
      <x:c r="L34" s="23"/>
      <x:c r="M34" s="22"/>
      <x:c r="N34" s="23" t="n">
        <x:v>5.298931799999991</x:v>
      </x:c>
      <x:c r="O34" s="23" t="n">
        <x:v>248.67578125</x:v>
      </x:c>
      <x:c r="P34" s="20" t="str">
        <x:v>MemoryError</x:v>
      </x:c>
      <x:c r="Q34" s="39" t="str">
        <x:v>Unable to allocate 56.2 GiB for an array with shape (86864, 86864) and data type float64</x:v>
      </x:c>
      <x:c r="R34" s="33" t="n">
        <x:v>1</x:v>
      </x:c>
      <x:c r="S34" s="20" t="str">
        <x:v>cytometry__samusik_01__AMD-DBSCAN__42__4207b21aea09</x:v>
      </x:c>
      <x:c r="T34" s="24" t="n">
        <x:v>46250.89778053241</x:v>
      </x:c>
    </x:row>
    <x:row r="35">
      <x:c r="A35" s="20" t="str">
        <x:v>Samusik 01</x:v>
      </x:c>
      <x:c r="B35" s="20" t="str">
        <x:v>kNN-DBSCAN</x:v>
      </x:c>
      <x:c r="C35" s="34" t="str">
        <x:v>ok</x:v>
      </x:c>
      <x:c r="D35" s="21" t="n">
        <x:v>86864</x:v>
      </x:c>
      <x:c r="E35" s="21" t="n">
        <x:v>39</x:v>
      </x:c>
      <x:c r="F35" s="22" t="n">
        <x:v>0.01364400569448179</x:v>
      </x:c>
      <x:c r="G35" s="22" t="n">
        <x:v>0</x:v>
      </x:c>
      <x:c r="H35" s="22" t="n">
        <x:v>0.1463052971037973</x:v>
      </x:c>
      <x:c r="I35" s="22" t="n">
        <x:v>0.010218469271654415</x:v>
      </x:c>
      <x:c r="J35" s="22" t="n">
        <x:v>0.041227483972342015</x:v>
      </x:c>
      <x:c r="K35" s="23" t="n">
        <x:v>21</x:v>
      </x:c>
      <x:c r="L35" s="23" t="n">
        <x:v>24</x:v>
      </x:c>
      <x:c r="M35" s="22" t="n">
        <x:v>0.5409539284862721</x:v>
      </x:c>
      <x:c r="N35" s="23" t="n">
        <x:v>12.355867300000682</x:v>
      </x:c>
      <x:c r="O35" s="23" t="n">
        <x:v>249.53515625</x:v>
      </x:c>
      <x:c r="P35" s="20"/>
      <x:c r="Q35" s="39"/>
      <x:c r="R35" s="33" t="n">
        <x:v>1</x:v>
      </x:c>
      <x:c r="S35" s="20" t="str">
        <x:v>cytometry__samusik_01__kNN-DBSCAN__42__0bf56acdb5cf</x:v>
      </x:c>
      <x:c r="T35" s="24" t="n">
        <x:v>46250.89792376157</x:v>
      </x:c>
    </x:row>
    <x:row r="36">
      <x:c r="A36" s="20" t="str">
        <x:v>Samusik 01</x:v>
      </x:c>
      <x:c r="B36" s="20" t="str">
        <x:v>kNN+Leiden</x:v>
      </x:c>
      <x:c r="C36" s="34" t="str">
        <x:v>ok</x:v>
      </x:c>
      <x:c r="D36" s="21" t="n">
        <x:v>86864</x:v>
      </x:c>
      <x:c r="E36" s="21" t="n">
        <x:v>39</x:v>
      </x:c>
      <x:c r="F36" s="22" t="n">
        <x:v>0.28252989224713304</x:v>
      </x:c>
      <x:c r="G36" s="22" t="n">
        <x:v>0</x:v>
      </x:c>
      <x:c r="H36" s="22" t="n">
        <x:v>0.23374501965112193</x:v>
      </x:c>
      <x:c r="I36" s="22" t="n">
        <x:v>0.4359351266498231</x:v>
      </x:c>
      <x:c r="J36" s="22" t="n">
        <x:v>0.39250999967994915</x:v>
      </x:c>
      <x:c r="K36" s="23" t="n">
        <x:v>16</x:v>
      </x:c>
      <x:c r="L36" s="23" t="n">
        <x:v>24</x:v>
      </x:c>
      <x:c r="M36" s="22" t="n">
        <x:v>0</x:v>
      </x:c>
      <x:c r="N36" s="23" t="n">
        <x:v>58.9692486999993</x:v>
      </x:c>
      <x:c r="O36" s="23" t="n">
        <x:v>722.8359375</x:v>
      </x:c>
      <x:c r="P36" s="20"/>
      <x:c r="Q36" s="39"/>
      <x:c r="R36" s="33" t="n">
        <x:v>1</x:v>
      </x:c>
      <x:c r="S36" s="20" t="str">
        <x:v>cytometry__samusik_01__kNN+Leiden__42__1e8982d2e877</x:v>
      </x:c>
      <x:c r="T36" s="24" t="n">
        <x:v>46250.8986065162</x:v>
      </x:c>
    </x:row>
    <x:row r="37">
      <x:c r="A37" s="20" t="str">
        <x:v>Samusik 01</x:v>
      </x:c>
      <x:c r="B37" s="20" t="str">
        <x:v>StrataSCAN</x:v>
      </x:c>
      <x:c r="C37" s="34" t="str">
        <x:v>ok</x:v>
      </x:c>
      <x:c r="D37" s="21" t="n">
        <x:v>86864</x:v>
      </x:c>
      <x:c r="E37" s="21" t="n">
        <x:v>39</x:v>
      </x:c>
      <x:c r="F37" s="22" t="n">
        <x:v>0.20334311364048882</x:v>
      </x:c>
      <x:c r="G37" s="22" t="n">
        <x:v>0.041666666666666664</x:v>
      </x:c>
      <x:c r="H37" s="22" t="n">
        <x:v>0.43979303641733014</x:v>
      </x:c>
      <x:c r="I37" s="22" t="n">
        <x:v>0.24447503761252629</x:v>
      </x:c>
      <x:c r="J37" s="22" t="n">
        <x:v>0.18329479760785836</x:v>
      </x:c>
      <x:c r="K37" s="23" t="n">
        <x:v>468</x:v>
      </x:c>
      <x:c r="L37" s="23" t="n">
        <x:v>24</x:v>
      </x:c>
      <x:c r="M37" s="22" t="n">
        <x:v>0.38039072363612203</x:v>
      </x:c>
      <x:c r="N37" s="23" t="n">
        <x:v>19.01773989999856</x:v>
      </x:c>
      <x:c r="O37" s="23" t="n">
        <x:v>505.17578125</x:v>
      </x:c>
      <x:c r="P37" s="20"/>
      <x:c r="Q37" s="39"/>
      <x:c r="R37" s="33" t="n">
        <x:v>1</x:v>
      </x:c>
      <x:c r="S37" s="20" t="str">
        <x:v>cytometry__samusik_01__StrataSCAN__42__3d78253e997f</x:v>
      </x:c>
      <x:c r="T37" s="24" t="n">
        <x:v>46250.89882768519</x:v>
      </x:c>
    </x:row>
    <x:row r="38">
      <x:c r="A38" s="20" t="str">
        <x:v>Samusik 02</x:v>
      </x:c>
      <x:c r="B38" s="20" t="str">
        <x:v>DBSCAN</x:v>
      </x:c>
      <x:c r="C38" s="34" t="str">
        <x:v>ok</x:v>
      </x:c>
      <x:c r="D38" s="21" t="n">
        <x:v>87772</x:v>
      </x:c>
      <x:c r="E38" s="21" t="n">
        <x:v>39</x:v>
      </x:c>
      <x:c r="F38" s="22" t="n">
        <x:v>0.009626112100694346</x:v>
      </x:c>
      <x:c r="G38" s="22" t="n">
        <x:v>0</x:v>
      </x:c>
      <x:c r="H38" s="22" t="n">
        <x:v>0.12745018312370487</x:v>
      </x:c>
      <x:c r="I38" s="22" t="n">
        <x:v>0.007494720919414316</x:v>
      </x:c>
      <x:c r="J38" s="22" t="n">
        <x:v>0.022571487059027874</x:v>
      </x:c>
      <x:c r="K38" s="23" t="n">
        <x:v>11</x:v>
      </x:c>
      <x:c r="L38" s="23" t="n">
        <x:v>24</x:v>
      </x:c>
      <x:c r="M38" s="22" t="n">
        <x:v>0.5039976468700698</x:v>
      </x:c>
      <x:c r="N38" s="23" t="n">
        <x:v>43.77728650000063</x:v>
      </x:c>
      <x:c r="O38" s="23" t="n">
        <x:v>248.9765625</x:v>
      </x:c>
      <x:c r="P38" s="20"/>
      <x:c r="Q38" s="39"/>
      <x:c r="R38" s="33" t="n">
        <x:v>1</x:v>
      </x:c>
      <x:c r="S38" s="20" t="str">
        <x:v>cytometry__samusik_02__DBSCAN__42__36896527a34f</x:v>
      </x:c>
      <x:c r="T38" s="24" t="n">
        <x:v>46250.89933453704</x:v>
      </x:c>
    </x:row>
    <x:row r="39">
      <x:c r="A39" s="20" t="str">
        <x:v>Samusik 02</x:v>
      </x:c>
      <x:c r="B39" s="20" t="str">
        <x:v>HDBSCAN</x:v>
      </x:c>
      <x:c r="C39" s="34" t="str">
        <x:v>ok</x:v>
      </x:c>
      <x:c r="D39" s="21" t="n">
        <x:v>87772</x:v>
      </x:c>
      <x:c r="E39" s="21" t="n">
        <x:v>39</x:v>
      </x:c>
      <x:c r="F39" s="22" t="n">
        <x:v>0.011420969649191958</x:v>
      </x:c>
      <x:c r="G39" s="22" t="n">
        <x:v>0</x:v>
      </x:c>
      <x:c r="H39" s="22" t="n">
        <x:v>0.006618243281826384</x:v>
      </x:c>
      <x:c r="I39" s="22" t="n">
        <x:v>0.04163373805589482</x:v>
      </x:c>
      <x:c r="J39" s="22" t="n">
        <x:v>0.11732319789995076</x:v>
      </x:c>
      <x:c r="K39" s="23" t="n">
        <x:v>2</x:v>
      </x:c>
      <x:c r="L39" s="23" t="n">
        <x:v>24</x:v>
      </x:c>
      <x:c r="M39" s="22" t="n">
        <x:v>0.00822888973287758</x:v>
      </x:c>
      <x:c r="N39" s="23" t="n">
        <x:v>997.0459554000008</x:v>
      </x:c>
      <x:c r="O39" s="23" t="n">
        <x:v>250.234375</x:v>
      </x:c>
      <x:c r="P39" s="20"/>
      <x:c r="Q39" s="39"/>
      <x:c r="R39" s="33" t="n">
        <x:v>1</x:v>
      </x:c>
      <x:c r="S39" s="20" t="str">
        <x:v>cytometry__samusik_02__HDBSCAN__42__bd84c8736f64</x:v>
      </x:c>
      <x:c r="T39" s="24" t="n">
        <x:v>46250.910874594905</x:v>
      </x:c>
    </x:row>
    <x:row r="40">
      <x:c r="A40" s="20" t="str">
        <x:v>Samusik 02</x:v>
      </x:c>
      <x:c r="B40" s="20" t="str">
        <x:v>OPTICS</x:v>
      </x:c>
      <x:c r="C40" s="34" t="str">
        <x:v>ok</x:v>
      </x:c>
      <x:c r="D40" s="21" t="n">
        <x:v>87772</x:v>
      </x:c>
      <x:c r="E40" s="21" t="n">
        <x:v>39</x:v>
      </x:c>
      <x:c r="F40" s="22" t="n">
        <x:v>0.014705349451206858</x:v>
      </x:c>
      <x:c r="G40" s="22" t="n">
        <x:v>0</x:v>
      </x:c>
      <x:c r="H40" s="22" t="n">
        <x:v>0.055013941664907466</x:v>
      </x:c>
      <x:c r="I40" s="22" t="n">
        <x:v>0.014856332396631007</x:v>
      </x:c>
      <x:c r="J40" s="22" t="n">
        <x:v>0.06900441655949409</x:v>
      </x:c>
      <x:c r="K40" s="23" t="n">
        <x:v>6</x:v>
      </x:c>
      <x:c r="L40" s="23" t="n">
        <x:v>24</x:v>
      </x:c>
      <x:c r="M40" s="22" t="n">
        <x:v>0.4927231215882292</x:v>
      </x:c>
      <x:c r="N40" s="23" t="n">
        <x:v>129.13796039999943</x:v>
      </x:c>
      <x:c r="O40" s="23" t="n">
        <x:v>251.2734375</x:v>
      </x:c>
      <x:c r="P40" s="20"/>
      <x:c r="Q40" s="39"/>
      <x:c r="R40" s="33" t="n">
        <x:v>1</x:v>
      </x:c>
      <x:c r="S40" s="20" t="str">
        <x:v>cytometry__samusik_02__OPTICS__42__4f4f31548d43</x:v>
      </x:c>
      <x:c r="T40" s="24" t="n">
        <x:v>46250.91236944444</x:v>
      </x:c>
    </x:row>
    <x:row r="41">
      <x:c r="A41" s="20" t="str">
        <x:v>Samusik 02</x:v>
      </x:c>
      <x:c r="B41" s="20" t="str">
        <x:v>SNN-DBSCAN</x:v>
      </x:c>
      <x:c r="C41" s="34" t="str">
        <x:v>ok</x:v>
      </x:c>
      <x:c r="D41" s="21" t="n">
        <x:v>87772</x:v>
      </x:c>
      <x:c r="E41" s="21" t="n">
        <x:v>39</x:v>
      </x:c>
      <x:c r="F41" s="22" t="n">
        <x:v>0.043128786729978684</x:v>
      </x:c>
      <x:c r="G41" s="22" t="n">
        <x:v>0</x:v>
      </x:c>
      <x:c r="H41" s="22" t="n">
        <x:v>0.3359299691536534</x:v>
      </x:c>
      <x:c r="I41" s="22" t="n">
        <x:v>0.027893641865451485</x:v>
      </x:c>
      <x:c r="J41" s="22" t="n">
        <x:v>0.000008169797355451646</x:v>
      </x:c>
      <x:c r="K41" s="23" t="n">
        <x:v>44</x:v>
      </x:c>
      <x:c r="L41" s="23" t="n">
        <x:v>24</x:v>
      </x:c>
      <x:c r="M41" s="22" t="n">
        <x:v>0.5232543435927266</x:v>
      </x:c>
      <x:c r="N41" s="23" t="n">
        <x:v>13.237237500001356</x:v>
      </x:c>
      <x:c r="O41" s="23" t="n">
        <x:v>340.75</x:v>
      </x:c>
      <x:c r="P41" s="20"/>
      <x:c r="Q41" s="39"/>
      <x:c r="R41" s="33" t="n">
        <x:v>1</x:v>
      </x:c>
      <x:c r="S41" s="20" t="str">
        <x:v>cytometry__samusik_02__SNN-DBSCAN__42__9ecf4eb78bf5</x:v>
      </x:c>
      <x:c r="T41" s="24" t="n">
        <x:v>46250.91252283565</x:v>
      </x:c>
    </x:row>
    <x:row r="42">
      <x:c r="A42" s="20" t="str">
        <x:v>Samusik 02</x:v>
      </x:c>
      <x:c r="B42" s="20" t="str">
        <x:v>VDBSCAN-2007</x:v>
      </x:c>
      <x:c r="C42" s="34" t="str">
        <x:v>ok</x:v>
      </x:c>
      <x:c r="D42" s="21" t="n">
        <x:v>87772</x:v>
      </x:c>
      <x:c r="E42" s="21" t="n">
        <x:v>39</x:v>
      </x:c>
      <x:c r="F42" s="22" t="n">
        <x:v>0.041285732510221294</x:v>
      </x:c>
      <x:c r="G42" s="22" t="n">
        <x:v>0</x:v>
      </x:c>
      <x:c r="H42" s="22" t="n">
        <x:v>0.09395525785621511</x:v>
      </x:c>
      <x:c r="I42" s="22" t="n">
        <x:v>0.06827721223070882</x:v>
      </x:c>
      <x:c r="J42" s="22" t="n">
        <x:v>0.12992385913127405</x:v>
      </x:c>
      <x:c r="K42" s="23" t="n">
        <x:v>7</x:v>
      </x:c>
      <x:c r="L42" s="23" t="n">
        <x:v>24</x:v>
      </x:c>
      <x:c r="M42" s="22" t="n">
        <x:v>0.17710515291160453</x:v>
      </x:c>
      <x:c r="N42" s="23" t="n">
        <x:v>171.4476364000002</x:v>
      </x:c>
      <x:c r="O42" s="23" t="n">
        <x:v>5674.703125</x:v>
      </x:c>
      <x:c r="P42" s="20"/>
      <x:c r="Q42" s="39"/>
      <x:c r="R42" s="33" t="n">
        <x:v>1</x:v>
      </x:c>
      <x:c r="S42" s="20" t="str">
        <x:v>cytometry__samusik_02__VDBSCAN-2007__42__3c6ff3e39eb0</x:v>
      </x:c>
      <x:c r="T42" s="24" t="n">
        <x:v>46250.914507800924</x:v>
      </x:c>
    </x:row>
    <x:row r="43">
      <x:c r="A43" s="20" t="str">
        <x:v>Samusik 02</x:v>
      </x:c>
      <x:c r="B43" s="20" t="str">
        <x:v>AMD-DBSCAN</x:v>
      </x:c>
      <x:c r="C43" s="35" t="str">
        <x:v>error</x:v>
      </x:c>
      <x:c r="D43" s="21"/>
      <x:c r="E43" s="21"/>
      <x:c r="F43" s="22"/>
      <x:c r="G43" s="22"/>
      <x:c r="H43" s="22"/>
      <x:c r="I43" s="22"/>
      <x:c r="J43" s="22"/>
      <x:c r="K43" s="23"/>
      <x:c r="L43" s="23"/>
      <x:c r="M43" s="22"/>
      <x:c r="N43" s="23" t="n">
        <x:v>20.352108399998542</x:v>
      </x:c>
      <x:c r="O43" s="23" t="n">
        <x:v>253.30078125</x:v>
      </x:c>
      <x:c r="P43" s="20" t="str">
        <x:v>MemoryError</x:v>
      </x:c>
      <x:c r="Q43" s="39" t="str">
        <x:v>Unable to allocate 57.4 GiB for an array with shape (87772, 87772) and data type float64</x:v>
      </x:c>
      <x:c r="R43" s="33" t="n">
        <x:v>1</x:v>
      </x:c>
      <x:c r="S43" s="20" t="str">
        <x:v>cytometry__samusik_02__AMD-DBSCAN__42__08e322101e55</x:v>
      </x:c>
      <x:c r="T43" s="24" t="n">
        <x:v>46250.91474392361</x:v>
      </x:c>
    </x:row>
    <x:row r="44">
      <x:c r="A44" s="20" t="str">
        <x:v>Samusik 02</x:v>
      </x:c>
      <x:c r="B44" s="20" t="str">
        <x:v>kNN-DBSCAN</x:v>
      </x:c>
      <x:c r="C44" s="34" t="str">
        <x:v>ok</x:v>
      </x:c>
      <x:c r="D44" s="21" t="n">
        <x:v>87772</x:v>
      </x:c>
      <x:c r="E44" s="21" t="n">
        <x:v>39</x:v>
      </x:c>
      <x:c r="F44" s="22" t="n">
        <x:v>0.009639911296537457</x:v>
      </x:c>
      <x:c r="G44" s="22" t="n">
        <x:v>0</x:v>
      </x:c>
      <x:c r="H44" s="22" t="n">
        <x:v>0.13781631762652705</x:v>
      </x:c>
      <x:c r="I44" s="22" t="n">
        <x:v>0.007465340314201602</x:v>
      </x:c>
      <x:c r="J44" s="22" t="n">
        <x:v>0.02215665058984295</x:v>
      </x:c>
      <x:c r="K44" s="23" t="n">
        <x:v>13</x:v>
      </x:c>
      <x:c r="L44" s="23" t="n">
        <x:v>24</x:v>
      </x:c>
      <x:c r="M44" s="22" t="n">
        <x:v>0.5039255001559506</x:v>
      </x:c>
      <x:c r="N44" s="23" t="n">
        <x:v>52.743397899997944</x:v>
      </x:c>
      <x:c r="O44" s="23" t="n">
        <x:v>250.07421875</x:v>
      </x:c>
      <x:c r="P44" s="20"/>
      <x:c r="Q44" s="39"/>
      <x:c r="R44" s="33" t="n">
        <x:v>1</x:v>
      </x:c>
      <x:c r="S44" s="20" t="str">
        <x:v>cytometry__samusik_02__kNN-DBSCAN__42__185dd4167472</x:v>
      </x:c>
      <x:c r="T44" s="24" t="n">
        <x:v>46250.91535517361</x:v>
      </x:c>
    </x:row>
    <x:row r="45">
      <x:c r="A45" s="20" t="str">
        <x:v>Samusik 02</x:v>
      </x:c>
      <x:c r="B45" s="20" t="str">
        <x:v>kNN+Leiden</x:v>
      </x:c>
      <x:c r="C45" s="34" t="str">
        <x:v>ok</x:v>
      </x:c>
      <x:c r="D45" s="21" t="n">
        <x:v>87772</x:v>
      </x:c>
      <x:c r="E45" s="21" t="n">
        <x:v>39</x:v>
      </x:c>
      <x:c r="F45" s="22" t="n">
        <x:v>0.3173733770112808</x:v>
      </x:c>
      <x:c r="G45" s="22" t="n">
        <x:v>0</x:v>
      </x:c>
      <x:c r="H45" s="22" t="n">
        <x:v>0.25179102082287946</x:v>
      </x:c>
      <x:c r="I45" s="22" t="n">
        <x:v>0.5135720204391698</x:v>
      </x:c>
      <x:c r="J45" s="22" t="n">
        <x:v>0.5769103138627529</x:v>
      </x:c>
      <x:c r="K45" s="23" t="n">
        <x:v>14</x:v>
      </x:c>
      <x:c r="L45" s="23" t="n">
        <x:v>24</x:v>
      </x:c>
      <x:c r="M45" s="22" t="n">
        <x:v>0</x:v>
      </x:c>
      <x:c r="N45" s="23" t="n">
        <x:v>203.7258198999989</x:v>
      </x:c>
      <x:c r="O45" s="23" t="n">
        <x:v>724.15625</x:v>
      </x:c>
      <x:c r="P45" s="20"/>
      <x:c r="Q45" s="39"/>
      <x:c r="R45" s="33" t="n">
        <x:v>1</x:v>
      </x:c>
      <x:c r="S45" s="20" t="str">
        <x:v>cytometry__samusik_02__kNN+Leiden__42__342913f64fba</x:v>
      </x:c>
      <x:c r="T45" s="24" t="n">
        <x:v>46250.91771383102</x:v>
      </x:c>
    </x:row>
    <x:row r="46">
      <x:c r="A46" s="20" t="str">
        <x:v>Samusik 02</x:v>
      </x:c>
      <x:c r="B46" s="20" t="str">
        <x:v>StrataSCAN</x:v>
      </x:c>
      <x:c r="C46" s="34" t="str">
        <x:v>ok</x:v>
      </x:c>
      <x:c r="D46" s="21" t="n">
        <x:v>87772</x:v>
      </x:c>
      <x:c r="E46" s="21" t="n">
        <x:v>39</x:v>
      </x:c>
      <x:c r="F46" s="22" t="n">
        <x:v>0.005467955239064091</x:v>
      </x:c>
      <x:c r="G46" s="22" t="n">
        <x:v>0</x:v>
      </x:c>
      <x:c r="H46" s="22" t="n">
        <x:v>0.005163304514889529</x:v>
      </x:c>
      <x:c r="I46" s="22" t="n">
        <x:v>0.0058108108108108104</x:v>
      </x:c>
      <x:c r="J46" s="22" t="n">
        <x:v>0.0015697366929413445</x:v>
      </x:c>
      <x:c r="K46" s="23" t="n">
        <x:v>2</x:v>
      </x:c>
      <x:c r="L46" s="23" t="n">
        <x:v>24</x:v>
      </x:c>
      <x:c r="M46" s="22" t="n">
        <x:v>0.5152591704832428</x:v>
      </x:c>
      <x:c r="N46" s="23" t="n">
        <x:v>74.19537320000018</x:v>
      </x:c>
      <x:c r="O46" s="23" t="n">
        <x:v>485.23046875</x:v>
      </x:c>
      <x:c r="P46" s="20"/>
      <x:c r="Q46" s="39"/>
      <x:c r="R46" s="33" t="n">
        <x:v>1</x:v>
      </x:c>
      <x:c r="S46" s="20" t="str">
        <x:v>cytometry__samusik_02__StrataSCAN__42__fc3d695aac94</x:v>
      </x:c>
      <x:c r="T46" s="24" t="n">
        <x:v>46250.91857368055</x:v>
      </x:c>
    </x:row>
    <x:row r="47">
      <x:c r="A47" s="20" t="str">
        <x:v>Samusik 03</x:v>
      </x:c>
      <x:c r="B47" s="20" t="str">
        <x:v>DBSCAN</x:v>
      </x:c>
      <x:c r="C47" s="34" t="str">
        <x:v>ok</x:v>
      </x:c>
      <x:c r="D47" s="21" t="n">
        <x:v>84556</x:v>
      </x:c>
      <x:c r="E47" s="21" t="n">
        <x:v>39</x:v>
      </x:c>
      <x:c r="F47" s="22" t="n">
        <x:v>0.00939698642247723</x:v>
      </x:c>
      <x:c r="G47" s="22" t="n">
        <x:v>0</x:v>
      </x:c>
      <x:c r="H47" s="22" t="n">
        <x:v>0.1479524293530091</x:v>
      </x:c>
      <x:c r="I47" s="22" t="n">
        <x:v>0.007252938010249197</x:v>
      </x:c>
      <x:c r="J47" s="22" t="n">
        <x:v>0.019870493409067814</x:v>
      </x:c>
      <x:c r="K47" s="23" t="n">
        <x:v>19</x:v>
      </x:c>
      <x:c r="L47" s="23" t="n">
        <x:v>24</x:v>
      </x:c>
      <x:c r="M47" s="22" t="n">
        <x:v>0.49554920983359524</x:v>
      </x:c>
      <x:c r="N47" s="23" t="n">
        <x:v>173.35800219999874</x:v>
      </x:c>
      <x:c r="O47" s="23" t="n">
        <x:v>240.09375</x:v>
      </x:c>
      <x:c r="P47" s="20"/>
      <x:c r="Q47" s="39"/>
      <x:c r="R47" s="33" t="n">
        <x:v>1</x:v>
      </x:c>
      <x:c r="S47" s="20" t="str">
        <x:v>cytometry__samusik_03__DBSCAN__42__dd92e195b8e9</x:v>
      </x:c>
      <x:c r="T47" s="24" t="n">
        <x:v>46250.9205806713</x:v>
      </x:c>
    </x:row>
    <x:row r="48">
      <x:c r="A48" s="20" t="str">
        <x:v>Samusik 03</x:v>
      </x:c>
      <x:c r="B48" s="20" t="str">
        <x:v>HDBSCAN</x:v>
      </x:c>
      <x:c r="C48" s="34" t="str">
        <x:v>ok</x:v>
      </x:c>
      <x:c r="D48" s="21" t="n">
        <x:v>84556</x:v>
      </x:c>
      <x:c r="E48" s="21" t="n">
        <x:v>39</x:v>
      </x:c>
      <x:c r="F48" s="22" t="n">
        <x:v>0.03914928004697193</x:v>
      </x:c>
      <x:c r="G48" s="22" t="n">
        <x:v>0</x:v>
      </x:c>
      <x:c r="H48" s="22" t="n">
        <x:v>0.03375978771153148</x:v>
      </x:c>
      <x:c r="I48" s="22" t="n">
        <x:v>0.0672453443292675</x:v>
      </x:c>
      <x:c r="J48" s="22" t="n">
        <x:v>0.13833732724042364</x:v>
      </x:c>
      <x:c r="K48" s="23" t="n">
        <x:v>2</x:v>
      </x:c>
      <x:c r="L48" s="23" t="n">
        <x:v>24</x:v>
      </x:c>
      <x:c r="M48" s="22" t="n">
        <x:v>0.16160147622109766</x:v>
      </x:c>
      <x:c r="N48" s="23" t="n">
        <x:v>1579.4238466999996</x:v>
      </x:c>
      <x:c r="O48" s="23" t="n">
        <x:v>240.71484375</x:v>
      </x:c>
      <x:c r="P48" s="20"/>
      <x:c r="Q48" s="39"/>
      <x:c r="R48" s="33" t="n">
        <x:v>1</x:v>
      </x:c>
      <x:c r="S48" s="20" t="str">
        <x:v>cytometry__samusik_03__HDBSCAN__42__3e888fe694d8</x:v>
      </x:c>
      <x:c r="T48" s="24" t="n">
        <x:v>46250.93886174769</x:v>
      </x:c>
    </x:row>
    <x:row r="49">
      <x:c r="A49" s="20" t="str">
        <x:v>Samusik 03</x:v>
      </x:c>
      <x:c r="B49" s="20" t="str">
        <x:v>OPTICS</x:v>
      </x:c>
      <x:c r="C49" s="34" t="str">
        <x:v>ok</x:v>
      </x:c>
      <x:c r="D49" s="21" t="n">
        <x:v>84556</x:v>
      </x:c>
      <x:c r="E49" s="21" t="n">
        <x:v>39</x:v>
      </x:c>
      <x:c r="F49" s="22" t="n">
        <x:v>0.015909865281713804</x:v>
      </x:c>
      <x:c r="G49" s="22" t="n">
        <x:v>0</x:v>
      </x:c>
      <x:c r="H49" s="22" t="n">
        <x:v>0.07164702403875788</x:v>
      </x:c>
      <x:c r="I49" s="22" t="n">
        <x:v>0.015377977460506953</x:v>
      </x:c>
      <x:c r="J49" s="22" t="n">
        <x:v>0.06419803407554962</x:v>
      </x:c>
      <x:c r="K49" s="23" t="n">
        <x:v>7</x:v>
      </x:c>
      <x:c r="L49" s="23" t="n">
        <x:v>24</x:v>
      </x:c>
      <x:c r="M49" s="22" t="n">
        <x:v>0.48352122764155847</x:v>
      </x:c>
      <x:c r="N49" s="23" t="n">
        <x:v>278.5023911999997</x:v>
      </x:c>
      <x:c r="O49" s="23" t="n">
        <x:v>248.5</x:v>
      </x:c>
      <x:c r="P49" s="20"/>
      <x:c r="Q49" s="39"/>
      <x:c r="R49" s="33" t="n">
        <x:v>1</x:v>
      </x:c>
      <x:c r="S49" s="20" t="str">
        <x:v>cytometry__samusik_03__OPTICS__42__0abb4930781a</x:v>
      </x:c>
      <x:c r="T49" s="24" t="n">
        <x:v>46250.94208547454</x:v>
      </x:c>
    </x:row>
    <x:row r="50">
      <x:c r="A50" s="20" t="str">
        <x:v>Samusik 03</x:v>
      </x:c>
      <x:c r="B50" s="20" t="str">
        <x:v>SNN-DBSCAN</x:v>
      </x:c>
      <x:c r="C50" s="34" t="str">
        <x:v>ok</x:v>
      </x:c>
      <x:c r="D50" s="21" t="n">
        <x:v>84556</x:v>
      </x:c>
      <x:c r="E50" s="21" t="n">
        <x:v>39</x:v>
      </x:c>
      <x:c r="F50" s="22" t="n">
        <x:v>0.052100824303027614</x:v>
      </x:c>
      <x:c r="G50" s="22" t="n">
        <x:v>0</x:v>
      </x:c>
      <x:c r="H50" s="22" t="n">
        <x:v>0.32555540524290527</x:v>
      </x:c>
      <x:c r="I50" s="22" t="n">
        <x:v>0.048432375912261454</x:v>
      </x:c>
      <x:c r="J50" s="22" t="n">
        <x:v>0.00000685405576639743</x:v>
      </x:c>
      <x:c r="K50" s="23" t="n">
        <x:v>51</x:v>
      </x:c>
      <x:c r="L50" s="23" t="n">
        <x:v>24</x:v>
      </x:c>
      <x:c r="M50" s="22" t="n">
        <x:v>0.5152853021881376</x:v>
      </x:c>
      <x:c r="N50" s="23" t="n">
        <x:v>12.707373299999745</x:v>
      </x:c>
      <x:c r="O50" s="23" t="n">
        <x:v>341.50390625</x:v>
      </x:c>
      <x:c r="P50" s="20"/>
      <x:c r="Q50" s="39"/>
      <x:c r="R50" s="33" t="n">
        <x:v>1</x:v>
      </x:c>
      <x:c r="S50" s="20" t="str">
        <x:v>cytometry__samusik_03__SNN-DBSCAN__42__2bba52518470</x:v>
      </x:c>
      <x:c r="T50" s="24" t="n">
        <x:v>46250.94223275463</x:v>
      </x:c>
    </x:row>
    <x:row r="51">
      <x:c r="A51" s="20" t="str">
        <x:v>Samusik 03</x:v>
      </x:c>
      <x:c r="B51" s="20" t="str">
        <x:v>VDBSCAN-2007</x:v>
      </x:c>
      <x:c r="C51" s="34" t="str">
        <x:v>ok</x:v>
      </x:c>
      <x:c r="D51" s="21" t="n">
        <x:v>84556</x:v>
      </x:c>
      <x:c r="E51" s="21" t="n">
        <x:v>39</x:v>
      </x:c>
      <x:c r="F51" s="22" t="n">
        <x:v>0.0407198755640402</x:v>
      </x:c>
      <x:c r="G51" s="22" t="n">
        <x:v>0</x:v>
      </x:c>
      <x:c r="H51" s="22" t="n">
        <x:v>0.1318000073562006</x:v>
      </x:c>
      <x:c r="I51" s="22" t="n">
        <x:v>0.06784286352409354</x:v>
      </x:c>
      <x:c r="J51" s="22" t="n">
        <x:v>0.13863576797007324</x:v>
      </x:c>
      <x:c r="K51" s="23" t="n">
        <x:v>9</x:v>
      </x:c>
      <x:c r="L51" s="23" t="n">
        <x:v>24</x:v>
      </x:c>
      <x:c r="M51" s="22" t="n">
        <x:v>0.16815286624203818</x:v>
      </x:c>
      <x:c r="N51" s="23" t="n">
        <x:v>69.39957579999827</x:v>
      </x:c>
      <x:c r="O51" s="23" t="n">
        <x:v>5529.9375</x:v>
      </x:c>
      <x:c r="P51" s="20"/>
      <x:c r="Q51" s="39"/>
      <x:c r="R51" s="33" t="n">
        <x:v>1</x:v>
      </x:c>
      <x:c r="S51" s="20" t="str">
        <x:v>cytometry__samusik_03__VDBSCAN-2007__42__a306596db105</x:v>
      </x:c>
      <x:c r="T51" s="24" t="n">
        <x:v>46250.943036145836</x:v>
      </x:c>
    </x:row>
    <x:row r="52">
      <x:c r="A52" s="20" t="str">
        <x:v>Samusik 03</x:v>
      </x:c>
      <x:c r="B52" s="20" t="str">
        <x:v>AMD-DBSCAN</x:v>
      </x:c>
      <x:c r="C52" s="35" t="str">
        <x:v>error</x:v>
      </x:c>
      <x:c r="D52" s="21"/>
      <x:c r="E52" s="21"/>
      <x:c r="F52" s="22"/>
      <x:c r="G52" s="22"/>
      <x:c r="H52" s="22"/>
      <x:c r="I52" s="22"/>
      <x:c r="J52" s="22"/>
      <x:c r="K52" s="23"/>
      <x:c r="L52" s="23"/>
      <x:c r="M52" s="22"/>
      <x:c r="N52" s="23" t="n">
        <x:v>4.2178760999995575</x:v>
      </x:c>
      <x:c r="O52" s="23" t="n">
        <x:v>251.12890625</x:v>
      </x:c>
      <x:c r="P52" s="20" t="str">
        <x:v>MemoryError</x:v>
      </x:c>
      <x:c r="Q52" s="39" t="str">
        <x:v>Unable to allocate 53.3 GiB for an array with shape (84556, 84556) and data type float64</x:v>
      </x:c>
      <x:c r="R52" s="33" t="n">
        <x:v>1</x:v>
      </x:c>
      <x:c r="S52" s="20" t="str">
        <x:v>cytometry__samusik_03__AMD-DBSCAN__42__2e4cbb3e1f87</x:v>
      </x:c>
      <x:c r="T52" s="24" t="n">
        <x:v>46250.943085162035</x:v>
      </x:c>
    </x:row>
    <x:row r="53">
      <x:c r="A53" s="20" t="str">
        <x:v>Samusik 03</x:v>
      </x:c>
      <x:c r="B53" s="20" t="str">
        <x:v>kNN-DBSCAN</x:v>
      </x:c>
      <x:c r="C53" s="34" t="str">
        <x:v>ok</x:v>
      </x:c>
      <x:c r="D53" s="21" t="n">
        <x:v>84556</x:v>
      </x:c>
      <x:c r="E53" s="21" t="n">
        <x:v>39</x:v>
      </x:c>
      <x:c r="F53" s="22" t="n">
        <x:v>0.009605784898896902</x:v>
      </x:c>
      <x:c r="G53" s="22" t="n">
        <x:v>0</x:v>
      </x:c>
      <x:c r="H53" s="22" t="n">
        <x:v>0.15654893091472175</x:v>
      </x:c>
      <x:c r="I53" s="22" t="n">
        <x:v>0.0073237309042526585</x:v>
      </x:c>
      <x:c r="J53" s="22" t="n">
        <x:v>0.019627452543858833</x:v>
      </x:c>
      <x:c r="K53" s="23" t="n">
        <x:v>23</x:v>
      </x:c>
      <x:c r="L53" s="23" t="n">
        <x:v>24</x:v>
      </x:c>
      <x:c r="M53" s="22" t="n">
        <x:v>0.495563698591916</x:v>
      </x:c>
      <x:c r="N53" s="23" t="n">
        <x:v>11.501656399999774</x:v>
      </x:c>
      <x:c r="O53" s="23" t="n">
        <x:v>247.26953125</x:v>
      </x:c>
      <x:c r="P53" s="20"/>
      <x:c r="Q53" s="39"/>
      <x:c r="R53" s="33" t="n">
        <x:v>1</x:v>
      </x:c>
      <x:c r="S53" s="20" t="str">
        <x:v>cytometry__samusik_03__kNN-DBSCAN__42__4c5d52643e09</x:v>
      </x:c>
      <x:c r="T53" s="24" t="n">
        <x:v>46250.94321844907</x:v>
      </x:c>
    </x:row>
    <x:row r="54">
      <x:c r="A54" s="20" t="str">
        <x:v>Samusik 03</x:v>
      </x:c>
      <x:c r="B54" s="20" t="str">
        <x:v>kNN+Leiden</x:v>
      </x:c>
      <x:c r="C54" s="34" t="str">
        <x:v>ok</x:v>
      </x:c>
      <x:c r="D54" s="21" t="n">
        <x:v>84556</x:v>
      </x:c>
      <x:c r="E54" s="21" t="n">
        <x:v>39</x:v>
      </x:c>
      <x:c r="F54" s="22" t="n">
        <x:v>0.3179776769646023</x:v>
      </x:c>
      <x:c r="G54" s="22" t="n">
        <x:v>0</x:v>
      </x:c>
      <x:c r="H54" s="22" t="n">
        <x:v>0.2531236442349804</x:v>
      </x:c>
      <x:c r="I54" s="22" t="n">
        <x:v>0.5109605569262641</x:v>
      </x:c>
      <x:c r="J54" s="22" t="n">
        <x:v>0.5950229014694786</x:v>
      </x:c>
      <x:c r="K54" s="23" t="n">
        <x:v>14</x:v>
      </x:c>
      <x:c r="L54" s="23" t="n">
        <x:v>24</x:v>
      </x:c>
      <x:c r="M54" s="22" t="n">
        <x:v>0</x:v>
      </x:c>
      <x:c r="N54" s="23" t="n">
        <x:v>27.946839799998997</x:v>
      </x:c>
      <x:c r="O54" s="23" t="n">
        <x:v>704.296875</x:v>
      </x:c>
      <x:c r="P54" s="20"/>
      <x:c r="Q54" s="39"/>
      <x:c r="R54" s="33" t="n">
        <x:v>1</x:v>
      </x:c>
      <x:c r="S54" s="20" t="str">
        <x:v>cytometry__samusik_03__kNN+Leiden__42__8fa416ca2028</x:v>
      </x:c>
      <x:c r="T54" s="24" t="n">
        <x:v>46250.94354209491</x:v>
      </x:c>
    </x:row>
    <x:row r="55">
      <x:c r="A55" s="20" t="str">
        <x:v>Samusik 03</x:v>
      </x:c>
      <x:c r="B55" s="20" t="str">
        <x:v>StrataSCAN</x:v>
      </x:c>
      <x:c r="C55" s="34" t="str">
        <x:v>ok</x:v>
      </x:c>
      <x:c r="D55" s="21" t="n">
        <x:v>84556</x:v>
      </x:c>
      <x:c r="E55" s="21" t="n">
        <x:v>39</x:v>
      </x:c>
      <x:c r="F55" s="22" t="n">
        <x:v>0.0054839509232866524</x:v>
      </x:c>
      <x:c r="G55" s="22" t="n">
        <x:v>0</x:v>
      </x:c>
      <x:c r="H55" s="22" t="n">
        <x:v>0.005864033925258415</x:v>
      </x:c>
      <x:c r="I55" s="22" t="n">
        <x:v>0.005150139664804469</x:v>
      </x:c>
      <x:c r="J55" s="22" t="n">
        <x:v>0.005431389877006107</x:v>
      </x:c>
      <x:c r="K55" s="23" t="n">
        <x:v>1</x:v>
      </x:c>
      <x:c r="L55" s="23" t="n">
        <x:v>24</x:v>
      </x:c>
      <x:c r="M55" s="22" t="n">
        <x:v>0.5032989112235385</x:v>
      </x:c>
      <x:c r="N55" s="23" t="n">
        <x:v>16.987744800000655</x:v>
      </x:c>
      <x:c r="O55" s="23" t="n">
        <x:v>484.890625</x:v>
      </x:c>
      <x:c r="P55" s="20"/>
      <x:c r="Q55" s="39"/>
      <x:c r="R55" s="33" t="n">
        <x:v>1</x:v>
      </x:c>
      <x:c r="S55" s="20" t="str">
        <x:v>cytometry__samusik_03__StrataSCAN__42__ec9ab8cea945</x:v>
      </x:c>
      <x:c r="T55" s="24" t="n">
        <x:v>46250.94373894676</x:v>
      </x:c>
    </x:row>
    <x:row r="56">
      <x:c r="A56" s="20" t="str">
        <x:v>Samusik 04</x:v>
      </x:c>
      <x:c r="B56" s="20" t="str">
        <x:v>DBSCAN</x:v>
      </x:c>
      <x:c r="C56" s="34" t="str">
        <x:v>ok</x:v>
      </x:c>
      <x:c r="D56" s="21" t="n">
        <x:v>80713</x:v>
      </x:c>
      <x:c r="E56" s="21" t="n">
        <x:v>39</x:v>
      </x:c>
      <x:c r="F56" s="22" t="n">
        <x:v>0.007673991454368655</x:v>
      </x:c>
      <x:c r="G56" s="22" t="n">
        <x:v>0</x:v>
      </x:c>
      <x:c r="H56" s="22" t="n">
        <x:v>0.09005541871921181</x:v>
      </x:c>
      <x:c r="I56" s="22" t="n">
        <x:v>0.008674363388713333</x:v>
      </x:c>
      <x:c r="J56" s="22" t="n">
        <x:v>0.018712485096015957</x:v>
      </x:c>
      <x:c r="K56" s="23" t="n">
        <x:v>12</x:v>
      </x:c>
      <x:c r="L56" s="23" t="n">
        <x:v>24</x:v>
      </x:c>
      <x:c r="M56" s="22" t="n">
        <x:v>0.508314134510647</x:v>
      </x:c>
      <x:c r="N56" s="23" t="n">
        <x:v>37.69407779999892</x:v>
      </x:c>
      <x:c r="O56" s="23" t="n">
        <x:v>247.22265625</x:v>
      </x:c>
      <x:c r="P56" s="20"/>
      <x:c r="Q56" s="39"/>
      <x:c r="R56" s="33" t="n">
        <x:v>1</x:v>
      </x:c>
      <x:c r="S56" s="20" t="str">
        <x:v>cytometry__samusik_04__DBSCAN__42__65b5c3c023fb</x:v>
      </x:c>
      <x:c r="T56" s="24" t="n">
        <x:v>46250.94417542824</x:v>
      </x:c>
    </x:row>
    <x:row r="57">
      <x:c r="A57" s="20" t="str">
        <x:v>Samusik 04</x:v>
      </x:c>
      <x:c r="B57" s="20" t="str">
        <x:v>HDBSCAN</x:v>
      </x:c>
      <x:c r="C57" s="34" t="str">
        <x:v>ok</x:v>
      </x:c>
      <x:c r="D57" s="21" t="n">
        <x:v>80713</x:v>
      </x:c>
      <x:c r="E57" s="21" t="n">
        <x:v>39</x:v>
      </x:c>
      <x:c r="F57" s="22" t="n">
        <x:v>0.008885960735680038</x:v>
      </x:c>
      <x:c r="G57" s="22" t="n">
        <x:v>0</x:v>
      </x:c>
      <x:c r="H57" s="22" t="n">
        <x:v>0.00497328986998178</x:v>
      </x:c>
      <x:c r="I57" s="22" t="n">
        <x:v>0.041666666666666664</x:v>
      </x:c>
      <x:c r="J57" s="22" t="n">
        <x:v>0.09556336330066473</x:v>
      </x:c>
      <x:c r="K57" s="23" t="n">
        <x:v>2</x:v>
      </x:c>
      <x:c r="L57" s="23" t="n">
        <x:v>24</x:v>
      </x:c>
      <x:c r="M57" s="22" t="n">
        <x:v>0.0006754474839581223</x:v>
      </x:c>
      <x:c r="N57" s="23" t="n">
        <x:v>834.0435505999994</x:v>
      </x:c>
      <x:c r="O57" s="23" t="n">
        <x:v>246.94140625</x:v>
      </x:c>
      <x:c r="P57" s="20"/>
      <x:c r="Q57" s="39"/>
      <x:c r="R57" s="33" t="n">
        <x:v>1</x:v>
      </x:c>
      <x:c r="S57" s="20" t="str">
        <x:v>cytometry__samusik_04__HDBSCAN__42__95ec19e74d56</x:v>
      </x:c>
      <x:c r="T57" s="24" t="n">
        <x:v>46250.953828958336</x:v>
      </x:c>
    </x:row>
    <x:row r="58">
      <x:c r="A58" s="20" t="str">
        <x:v>Samusik 04</x:v>
      </x:c>
      <x:c r="B58" s="20" t="str">
        <x:v>OPTICS</x:v>
      </x:c>
      <x:c r="C58" s="34" t="str">
        <x:v>ok</x:v>
      </x:c>
      <x:c r="D58" s="21" t="n">
        <x:v>80713</x:v>
      </x:c>
      <x:c r="E58" s="21" t="n">
        <x:v>39</x:v>
      </x:c>
      <x:c r="F58" s="22" t="n">
        <x:v>0.00212702450748031</x:v>
      </x:c>
      <x:c r="G58" s="22" t="n">
        <x:v>0</x:v>
      </x:c>
      <x:c r="H58" s="22" t="n">
        <x:v>0.06574074074074075</x:v>
      </x:c>
      <x:c r="I58" s="22" t="n">
        <x:v>0.001115629286760443</x:v>
      </x:c>
      <x:c r="J58" s="22" t="n">
        <x:v>0.000001469175081514884</x:v>
      </x:c>
      <x:c r="K58" s="23" t="n">
        <x:v>5</x:v>
      </x:c>
      <x:c r="L58" s="23" t="n">
        <x:v>24</x:v>
      </x:c>
      <x:c r="M58" s="22" t="n">
        <x:v>0.536028231110466</x:v>
      </x:c>
      <x:c r="N58" s="23" t="n">
        <x:v>108.5281243999998</x:v>
      </x:c>
      <x:c r="O58" s="23" t="n">
        <x:v>245.98046875</x:v>
      </x:c>
      <x:c r="P58" s="20"/>
      <x:c r="Q58" s="39"/>
      <x:c r="R58" s="33" t="n">
        <x:v>1</x:v>
      </x:c>
      <x:c r="S58" s="20" t="str">
        <x:v>cytometry__samusik_04__OPTICS__42__6641c445aea8</x:v>
      </x:c>
      <x:c r="T58" s="24" t="n">
        <x:v>46250.955085208334</x:v>
      </x:c>
    </x:row>
    <x:row r="59">
      <x:c r="A59" s="20" t="str">
        <x:v>Samusik 04</x:v>
      </x:c>
      <x:c r="B59" s="20" t="str">
        <x:v>SNN-DBSCAN</x:v>
      </x:c>
      <x:c r="C59" s="34" t="str">
        <x:v>ok</x:v>
      </x:c>
      <x:c r="D59" s="21" t="n">
        <x:v>80713</x:v>
      </x:c>
      <x:c r="E59" s="21" t="n">
        <x:v>39</x:v>
      </x:c>
      <x:c r="F59" s="22" t="n">
        <x:v>0.052042852560300557</x:v>
      </x:c>
      <x:c r="G59" s="22" t="n">
        <x:v>0.041666666666666664</x:v>
      </x:c>
      <x:c r="H59" s="22" t="n">
        <x:v>0.3428703241203241</x:v>
      </x:c>
      <x:c r="I59" s="22" t="n">
        <x:v>0.03686127967623148</x:v>
      </x:c>
      <x:c r="J59" s="22" t="n">
        <x:v>0.000009304404039484977</x:v>
      </x:c>
      <x:c r="K59" s="23" t="n">
        <x:v>42</x:v>
      </x:c>
      <x:c r="L59" s="23" t="n">
        <x:v>24</x:v>
      </x:c>
      <x:c r="M59" s="22" t="n">
        <x:v>0.5319554182500843</x:v>
      </x:c>
      <x:c r="N59" s="23" t="n">
        <x:v>12.174376200000552</x:v>
      </x:c>
      <x:c r="O59" s="23" t="n">
        <x:v>339.28125</x:v>
      </x:c>
      <x:c r="P59" s="20"/>
      <x:c r="Q59" s="39"/>
      <x:c r="R59" s="33" t="n">
        <x:v>1</x:v>
      </x:c>
      <x:c r="S59" s="20" t="str">
        <x:v>cytometry__samusik_04__SNN-DBSCAN__42__f1120d9150e7</x:v>
      </x:c>
      <x:c r="T59" s="24" t="n">
        <x:v>46250.95522631944</x:v>
      </x:c>
    </x:row>
    <x:row r="60">
      <x:c r="A60" s="20" t="str">
        <x:v>Samusik 04</x:v>
      </x:c>
      <x:c r="B60" s="20" t="str">
        <x:v>VDBSCAN-2007</x:v>
      </x:c>
      <x:c r="C60" s="34" t="str">
        <x:v>ok</x:v>
      </x:c>
      <x:c r="D60" s="21" t="n">
        <x:v>80713</x:v>
      </x:c>
      <x:c r="E60" s="21" t="n">
        <x:v>39</x:v>
      </x:c>
      <x:c r="F60" s="22" t="n">
        <x:v>0.04642720659800704</x:v>
      </x:c>
      <x:c r="G60" s="22" t="n">
        <x:v>0</x:v>
      </x:c>
      <x:c r="H60" s="22" t="n">
        <x:v>0.08076292571328154</x:v>
      </x:c>
      <x:c r="I60" s="22" t="n">
        <x:v>0.08238648910148834</x:v>
      </x:c>
      <x:c r="J60" s="22" t="n">
        <x:v>0.10476219314178443</x:v>
      </x:c>
      <x:c r="K60" s="23" t="n">
        <x:v>10</x:v>
      </x:c>
      <x:c r="L60" s="23" t="n">
        <x:v>24</x:v>
      </x:c>
      <x:c r="M60" s="22" t="n">
        <x:v>0.004844733035023382</x:v>
      </x:c>
      <x:c r="N60" s="23" t="n">
        <x:v>66.34083999999712</x:v>
      </x:c>
      <x:c r="O60" s="23" t="n">
        <x:v>4481.46875</x:v>
      </x:c>
      <x:c r="P60" s="20"/>
      <x:c r="Q60" s="39"/>
      <x:c r="R60" s="33" t="n">
        <x:v>1</x:v>
      </x:c>
      <x:c r="S60" s="20" t="str">
        <x:v>cytometry__samusik_04__VDBSCAN-2007__42__8f532e2525bf</x:v>
      </x:c>
      <x:c r="T60" s="24" t="n">
        <x:v>46250.95599440972</x:v>
      </x:c>
    </x:row>
    <x:row r="61">
      <x:c r="A61" s="20" t="str">
        <x:v>Samusik 04</x:v>
      </x:c>
      <x:c r="B61" s="20" t="str">
        <x:v>AMD-DBSCAN</x:v>
      </x:c>
      <x:c r="C61" s="35" t="str">
        <x:v>error</x:v>
      </x:c>
      <x:c r="D61" s="21"/>
      <x:c r="E61" s="21"/>
      <x:c r="F61" s="22"/>
      <x:c r="G61" s="22"/>
      <x:c r="H61" s="22"/>
      <x:c r="I61" s="22"/>
      <x:c r="J61" s="22"/>
      <x:c r="K61" s="23"/>
      <x:c r="L61" s="23"/>
      <x:c r="M61" s="22"/>
      <x:c r="N61" s="23" t="n">
        <x:v>4.3892081000012695</x:v>
      </x:c>
      <x:c r="O61" s="23" t="n">
        <x:v>245.2578125</x:v>
      </x:c>
      <x:c r="P61" s="20" t="str">
        <x:v>MemoryError</x:v>
      </x:c>
      <x:c r="Q61" s="39" t="str">
        <x:v>Unable to allocate 48.5 GiB for an array with shape (80713, 80713) and data type float64</x:v>
      </x:c>
      <x:c r="R61" s="33" t="n">
        <x:v>1</x:v>
      </x:c>
      <x:c r="S61" s="20" t="str">
        <x:v>cytometry__samusik_04__AMD-DBSCAN__42__340a9cd89681</x:v>
      </x:c>
      <x:c r="T61" s="24" t="n">
        <x:v>46250.95604538194</x:v>
      </x:c>
    </x:row>
    <x:row r="62">
      <x:c r="A62" s="20" t="str">
        <x:v>Samusik 04</x:v>
      </x:c>
      <x:c r="B62" s="20" t="str">
        <x:v>kNN-DBSCAN</x:v>
      </x:c>
      <x:c r="C62" s="34" t="str">
        <x:v>ok</x:v>
      </x:c>
      <x:c r="D62" s="21" t="n">
        <x:v>80713</x:v>
      </x:c>
      <x:c r="E62" s="21" t="n">
        <x:v>39</x:v>
      </x:c>
      <x:c r="F62" s="22" t="n">
        <x:v>0.007681833795533785</x:v>
      </x:c>
      <x:c r="G62" s="22" t="n">
        <x:v>0</x:v>
      </x:c>
      <x:c r="H62" s="22" t="n">
        <x:v>0.09006785934608268</x:v>
      </x:c>
      <x:c r="I62" s="22" t="n">
        <x:v>0.008674363388713333</x:v>
      </x:c>
      <x:c r="J62" s="22" t="n">
        <x:v>0.018644975510658746</x:v>
      </x:c>
      <x:c r="K62" s="23" t="n">
        <x:v>12</x:v>
      </x:c>
      <x:c r="L62" s="23" t="n">
        <x:v>24</x:v>
      </x:c>
      <x:c r="M62" s="22" t="n">
        <x:v>0.5083566265060241</x:v>
      </x:c>
      <x:c r="N62" s="23" t="n">
        <x:v>11.061905500002467</x:v>
      </x:c>
      <x:c r="O62" s="23" t="n">
        <x:v>247.1796875</x:v>
      </x:c>
      <x:c r="P62" s="20"/>
      <x:c r="Q62" s="39"/>
      <x:c r="R62" s="33" t="n">
        <x:v>1</x:v>
      </x:c>
      <x:c r="S62" s="20" t="str">
        <x:v>cytometry__samusik_04__kNN-DBSCAN__42__3b3a97fd6fe4</x:v>
      </x:c>
      <x:c r="T62" s="24" t="n">
        <x:v>46250.95617359954</x:v>
      </x:c>
    </x:row>
    <x:row r="63">
      <x:c r="A63" s="20" t="str">
        <x:v>Samusik 04</x:v>
      </x:c>
      <x:c r="B63" s="20" t="str">
        <x:v>kNN+Leiden</x:v>
      </x:c>
      <x:c r="C63" s="34" t="str">
        <x:v>ok</x:v>
      </x:c>
      <x:c r="D63" s="21" t="n">
        <x:v>80713</x:v>
      </x:c>
      <x:c r="E63" s="21" t="n">
        <x:v>39</x:v>
      </x:c>
      <x:c r="F63" s="22" t="n">
        <x:v>0.31096190168325727</x:v>
      </x:c>
      <x:c r="G63" s="22" t="n">
        <x:v>0</x:v>
      </x:c>
      <x:c r="H63" s="22" t="n">
        <x:v>0.2511060249204215</x:v>
      </x:c>
      <x:c r="I63" s="22" t="n">
        <x:v>0.47276568735723834</x:v>
      </x:c>
      <x:c r="J63" s="22" t="n">
        <x:v>0.5232780102934884</x:v>
      </x:c>
      <x:c r="K63" s="23" t="n">
        <x:v>13</x:v>
      </x:c>
      <x:c r="L63" s="23" t="n">
        <x:v>24</x:v>
      </x:c>
      <x:c r="M63" s="22" t="n">
        <x:v>0</x:v>
      </x:c>
      <x:c r="N63" s="23" t="n">
        <x:v>27.663355100001354</x:v>
      </x:c>
      <x:c r="O63" s="23" t="n">
        <x:v>678.8203125</x:v>
      </x:c>
      <x:c r="P63" s="20"/>
      <x:c r="Q63" s="39"/>
      <x:c r="R63" s="33" t="n">
        <x:v>1</x:v>
      </x:c>
      <x:c r="S63" s="20" t="str">
        <x:v>cytometry__samusik_04__kNN+Leiden__42__d11c12ea3fd4</x:v>
      </x:c>
      <x:c r="T63" s="24" t="n">
        <x:v>46250.956494039354</x:v>
      </x:c>
    </x:row>
    <x:row r="64">
      <x:c r="A64" s="20" t="str">
        <x:v>Samusik 04</x:v>
      </x:c>
      <x:c r="B64" s="20" t="str">
        <x:v>StrataSCAN</x:v>
      </x:c>
      <x:c r="C64" s="34" t="str">
        <x:v>ok</x:v>
      </x:c>
      <x:c r="D64" s="21" t="n">
        <x:v>80713</x:v>
      </x:c>
      <x:c r="E64" s="21" t="n">
        <x:v>39</x:v>
      </x:c>
      <x:c r="F64" s="22" t="n">
        <x:v>0.20208347257576778</x:v>
      </x:c>
      <x:c r="G64" s="22" t="n">
        <x:v>0.08333333333333333</x:v>
      </x:c>
      <x:c r="H64" s="22" t="n">
        <x:v>0.5449068010189855</x:v>
      </x:c>
      <x:c r="I64" s="22" t="n">
        <x:v>0.22709859814868227</x:v>
      </x:c>
      <x:c r="J64" s="22" t="n">
        <x:v>0.15430776669166146</x:v>
      </x:c>
      <x:c r="K64" s="23" t="n">
        <x:v>409</x:v>
      </x:c>
      <x:c r="L64" s="23" t="n">
        <x:v>24</x:v>
      </x:c>
      <x:c r="M64" s="22" t="n">
        <x:v>0.3608446037067006</x:v>
      </x:c>
      <x:c r="N64" s="23" t="n">
        <x:v>17.17575819999911</x:v>
      </x:c>
      <x:c r="O64" s="23" t="n">
        <x:v>474.46875</x:v>
      </x:c>
      <x:c r="P64" s="20"/>
      <x:c r="Q64" s="39"/>
      <x:c r="R64" s="33" t="n">
        <x:v>1</x:v>
      </x:c>
      <x:c r="S64" s="20" t="str">
        <x:v>cytometry__samusik_04__StrataSCAN__42__791e95d9f824</x:v>
      </x:c>
      <x:c r="T64" s="24" t="n">
        <x:v>46250.95669384259</x:v>
      </x:c>
    </x:row>
    <x:row r="65">
      <x:c r="A65" s="20" t="str">
        <x:v>Samusik 05</x:v>
      </x:c>
      <x:c r="B65" s="20" t="str">
        <x:v>DBSCAN</x:v>
      </x:c>
      <x:c r="C65" s="34" t="str">
        <x:v>ok</x:v>
      </x:c>
      <x:c r="D65" s="21" t="n">
        <x:v>84610</x:v>
      </x:c>
      <x:c r="E65" s="21" t="n">
        <x:v>39</x:v>
      </x:c>
      <x:c r="F65" s="22" t="n">
        <x:v>0.00801423294448886</x:v>
      </x:c>
      <x:c r="G65" s="22" t="n">
        <x:v>0</x:v>
      </x:c>
      <x:c r="H65" s="22" t="n">
        <x:v>0.10361329325897152</x:v>
      </x:c>
      <x:c r="I65" s="22" t="n">
        <x:v>0.014524712757198814</x:v>
      </x:c>
      <x:c r="J65" s="22" t="n">
        <x:v>0.012605999199700766</x:v>
      </x:c>
      <x:c r="K65" s="23" t="n">
        <x:v>14</x:v>
      </x:c>
      <x:c r="L65" s="23" t="n">
        <x:v>24</x:v>
      </x:c>
      <x:c r="M65" s="22" t="n">
        <x:v>0.548662210322878</x:v>
      </x:c>
      <x:c r="N65" s="23" t="n">
        <x:v>40.92122930000187</x:v>
      </x:c>
      <x:c r="O65" s="23" t="n">
        <x:v>250.3203125</x:v>
      </x:c>
      <x:c r="P65" s="20"/>
      <x:c r="Q65" s="39"/>
      <x:c r="R65" s="33" t="n">
        <x:v>1</x:v>
      </x:c>
      <x:c r="S65" s="20" t="str">
        <x:v>cytometry__samusik_05__DBSCAN__42__10ffb58b7ccb</x:v>
      </x:c>
      <x:c r="T65" s="24" t="n">
        <x:v>46250.95716762731</x:v>
      </x:c>
    </x:row>
    <x:row r="66">
      <x:c r="A66" s="20" t="str">
        <x:v>Samusik 05</x:v>
      </x:c>
      <x:c r="B66" s="20" t="str">
        <x:v>HDBSCAN</x:v>
      </x:c>
      <x:c r="C66" s="34" t="str">
        <x:v>ok</x:v>
      </x:c>
      <x:c r="D66" s="21" t="n">
        <x:v>84610</x:v>
      </x:c>
      <x:c r="E66" s="21" t="n">
        <x:v>39</x:v>
      </x:c>
      <x:c r="F66" s="22" t="n">
        <x:v>0.009961759948687915</x:v>
      </x:c>
      <x:c r="G66" s="22" t="n">
        <x:v>0</x:v>
      </x:c>
      <x:c r="H66" s="22" t="n">
        <x:v>0.005658014571948998</x:v>
      </x:c>
      <x:c r="I66" s="22" t="n">
        <x:v>0.04161933473144588</x:v>
      </x:c>
      <x:c r="J66" s="22" t="n">
        <x:v>0.08955516978979922</x:v>
      </x:c>
      <x:c r="K66" s="23" t="n">
        <x:v>2</x:v>
      </x:c>
      <x:c r="L66" s="23" t="n">
        <x:v>24</x:v>
      </x:c>
      <x:c r="M66" s="22" t="n">
        <x:v>0.01361122926414292</x:v>
      </x:c>
      <x:c r="N66" s="23" t="n">
        <x:v>944.4421437000019</x:v>
      </x:c>
      <x:c r="O66" s="23" t="n">
        <x:v>249.98828125</x:v>
      </x:c>
      <x:c r="P66" s="20"/>
      <x:c r="Q66" s="39"/>
      <x:c r="R66" s="33" t="n">
        <x:v>1</x:v>
      </x:c>
      <x:c r="S66" s="20" t="str">
        <x:v>cytometry__samusik_05__HDBSCAN__42__72e4e43ca668</x:v>
      </x:c>
      <x:c r="T66" s="24" t="n">
        <x:v>46250.96809890046</x:v>
      </x:c>
    </x:row>
    <x:row r="67">
      <x:c r="A67" s="20" t="str">
        <x:v>Samusik 05</x:v>
      </x:c>
      <x:c r="B67" s="20" t="str">
        <x:v>OPTICS</x:v>
      </x:c>
      <x:c r="C67" s="34" t="str">
        <x:v>ok</x:v>
      </x:c>
      <x:c r="D67" s="21" t="n">
        <x:v>84610</x:v>
      </x:c>
      <x:c r="E67" s="21" t="n">
        <x:v>39</x:v>
      </x:c>
      <x:c r="F67" s="22" t="n">
        <x:v>0.0016219384474143305</x:v>
      </x:c>
      <x:c r="G67" s="22" t="n">
        <x:v>0</x:v>
      </x:c>
      <x:c r="H67" s="22" t="n">
        <x:v>0.11349206349206349</x:v>
      </x:c>
      <x:c r="I67" s="22" t="n">
        <x:v>0.0008264559286808214</x:v>
      </x:c>
      <x:c r="J67" s="22" t="n">
        <x:v>0.00004328434575744424</x:v>
      </x:c>
      <x:c r="K67" s="23" t="n">
        <x:v>6</x:v>
      </x:c>
      <x:c r="L67" s="23" t="n">
        <x:v>24</x:v>
      </x:c>
      <x:c r="M67" s="22" t="n">
        <x:v>0.5836022699648775</x:v>
      </x:c>
      <x:c r="N67" s="23" t="n">
        <x:v>119.72499809999863</x:v>
      </x:c>
      <x:c r="O67" s="23" t="n">
        <x:v>247.52734375</x:v>
      </x:c>
      <x:c r="P67" s="20"/>
      <x:c r="Q67" s="39"/>
      <x:c r="R67" s="33" t="n">
        <x:v>1</x:v>
      </x:c>
      <x:c r="S67" s="20" t="str">
        <x:v>cytometry__samusik_05__OPTICS__42__9c2ed4f2b9fb</x:v>
      </x:c>
      <x:c r="T67" s="24" t="n">
        <x:v>46250.96948478009</x:v>
      </x:c>
    </x:row>
    <x:row r="68">
      <x:c r="A68" s="20" t="str">
        <x:v>Samusik 05</x:v>
      </x:c>
      <x:c r="B68" s="20" t="str">
        <x:v>SNN-DBSCAN</x:v>
      </x:c>
      <x:c r="C68" s="34" t="str">
        <x:v>ok</x:v>
      </x:c>
      <x:c r="D68" s="21" t="n">
        <x:v>84610</x:v>
      </x:c>
      <x:c r="E68" s="21" t="n">
        <x:v>39</x:v>
      </x:c>
      <x:c r="F68" s="22" t="n">
        <x:v>0.024950165145234775</x:v>
      </x:c>
      <x:c r="G68" s="22" t="n">
        <x:v>0.041666666666666664</x:v>
      </x:c>
      <x:c r="H68" s="22" t="n">
        <x:v>0.3434892653642654</x:v>
      </x:c>
      <x:c r="I68" s="22" t="n">
        <x:v>0.015039958051902065</x:v>
      </x:c>
      <x:c r="J68" s="22" t="n">
        <x:v>0.000005646394869680817</x:v>
      </x:c>
      <x:c r="K68" s="23" t="n">
        <x:v>50</x:v>
      </x:c>
      <x:c r="L68" s="23" t="n">
        <x:v>24</x:v>
      </x:c>
      <x:c r="M68" s="22" t="n">
        <x:v>0.5801397096527434</x:v>
      </x:c>
      <x:c r="N68" s="23" t="n">
        <x:v>13.137269499995455</x:v>
      </x:c>
      <x:c r="O68" s="23" t="n">
        <x:v>325.703125</x:v>
      </x:c>
      <x:c r="P68" s="20"/>
      <x:c r="Q68" s="39"/>
      <x:c r="R68" s="33" t="n">
        <x:v>1</x:v>
      </x:c>
      <x:c r="S68" s="20" t="str">
        <x:v>cytometry__samusik_05__SNN-DBSCAN__42__601b0b1665b2</x:v>
      </x:c>
      <x:c r="T68" s="24" t="n">
        <x:v>46250.96963702546</x:v>
      </x:c>
    </x:row>
    <x:row r="69">
      <x:c r="A69" s="20" t="str">
        <x:v>Samusik 05</x:v>
      </x:c>
      <x:c r="B69" s="20" t="str">
        <x:v>VDBSCAN-2007</x:v>
      </x:c>
      <x:c r="C69" s="34" t="str">
        <x:v>ok</x:v>
      </x:c>
      <x:c r="D69" s="21" t="n">
        <x:v>84610</x:v>
      </x:c>
      <x:c r="E69" s="21" t="n">
        <x:v>39</x:v>
      </x:c>
      <x:c r="F69" s="22" t="n">
        <x:v>0.0363073892679747</x:v>
      </x:c>
      <x:c r="G69" s="22" t="n">
        <x:v>0</x:v>
      </x:c>
      <x:c r="H69" s="22" t="n">
        <x:v>0.11615409642782205</x:v>
      </x:c>
      <x:c r="I69" s="22" t="n">
        <x:v>0.06396961915354893</x:v>
      </x:c>
      <x:c r="J69" s="22" t="n">
        <x:v>0.09829133059435662</x:v>
      </x:c>
      <x:c r="K69" s="23" t="n">
        <x:v>12</x:v>
      </x:c>
      <x:c r="L69" s="23" t="n">
        <x:v>24</x:v>
      </x:c>
      <x:c r="M69" s="22" t="n">
        <x:v>0.1497610196494955</x:v>
      </x:c>
      <x:c r="N69" s="23" t="n">
        <x:v>76.21120399999927</x:v>
      </x:c>
      <x:c r="O69" s="23" t="n">
        <x:v>6101.59375</x:v>
      </x:c>
      <x:c r="P69" s="20"/>
      <x:c r="Q69" s="39"/>
      <x:c r="R69" s="33" t="n">
        <x:v>1</x:v>
      </x:c>
      <x:c r="S69" s="20" t="str">
        <x:v>cytometry__samusik_05__VDBSCAN-2007__42__238beee04a8d</x:v>
      </x:c>
      <x:c r="T69" s="24" t="n">
        <x:v>46250.970519305556</x:v>
      </x:c>
    </x:row>
    <x:row r="70">
      <x:c r="A70" s="20" t="str">
        <x:v>Samusik 05</x:v>
      </x:c>
      <x:c r="B70" s="20" t="str">
        <x:v>AMD-DBSCAN</x:v>
      </x:c>
      <x:c r="C70" s="35" t="str">
        <x:v>error</x:v>
      </x:c>
      <x:c r="D70" s="21"/>
      <x:c r="E70" s="21"/>
      <x:c r="F70" s="22"/>
      <x:c r="G70" s="22"/>
      <x:c r="H70" s="22"/>
      <x:c r="I70" s="22"/>
      <x:c r="J70" s="22"/>
      <x:c r="K70" s="23"/>
      <x:c r="L70" s="23"/>
      <x:c r="M70" s="22"/>
      <x:c r="N70" s="23" t="n">
        <x:v>4.367072900000494</x:v>
      </x:c>
      <x:c r="O70" s="23" t="n">
        <x:v>250.7265625</x:v>
      </x:c>
      <x:c r="P70" s="20" t="str">
        <x:v>MemoryError</x:v>
      </x:c>
      <x:c r="Q70" s="39" t="str">
        <x:v>Unable to allocate 53.3 GiB for an array with shape (84610, 84610) and data type float64</x:v>
      </x:c>
      <x:c r="R70" s="33" t="n">
        <x:v>1</x:v>
      </x:c>
      <x:c r="S70" s="20" t="str">
        <x:v>cytometry__samusik_05__AMD-DBSCAN__42__c6404df0a243</x:v>
      </x:c>
      <x:c r="T70" s="24" t="n">
        <x:v>46250.97057005787</x:v>
      </x:c>
    </x:row>
    <x:row r="71">
      <x:c r="A71" s="20" t="str">
        <x:v>Samusik 05</x:v>
      </x:c>
      <x:c r="B71" s="20" t="str">
        <x:v>kNN-DBSCAN</x:v>
      </x:c>
      <x:c r="C71" s="34" t="str">
        <x:v>ok</x:v>
      </x:c>
      <x:c r="D71" s="21" t="n">
        <x:v>84610</x:v>
      </x:c>
      <x:c r="E71" s="21" t="n">
        <x:v>39</x:v>
      </x:c>
      <x:c r="F71" s="22" t="n">
        <x:v>0.008024454807307442</x:v>
      </x:c>
      <x:c r="G71" s="22" t="n">
        <x:v>0</x:v>
      </x:c>
      <x:c r="H71" s="22" t="n">
        <x:v>0.10077478026723569</x:v>
      </x:c>
      <x:c r="I71" s="22" t="n">
        <x:v>0.014495614920247396</x:v>
      </x:c>
      <x:c r="J71" s="22" t="n">
        <x:v>0.012490218362698707</x:v>
      </x:c>
      <x:c r="K71" s="23" t="n">
        <x:v>15</x:v>
      </x:c>
      <x:c r="L71" s="23" t="n">
        <x:v>24</x:v>
      </x:c>
      <x:c r="M71" s="22" t="n">
        <x:v>0.5487070837802619</x:v>
      </x:c>
      <x:c r="N71" s="23" t="n">
        <x:v>11.753331199994136</x:v>
      </x:c>
      <x:c r="O71" s="23" t="n">
        <x:v>249.72265625</x:v>
      </x:c>
      <x:c r="P71" s="20"/>
      <x:c r="Q71" s="39"/>
      <x:c r="R71" s="33" t="n">
        <x:v>1</x:v>
      </x:c>
      <x:c r="S71" s="20" t="str">
        <x:v>cytometry__samusik_05__kNN-DBSCAN__42__ac18db81d389</x:v>
      </x:c>
      <x:c r="T71" s="24" t="n">
        <x:v>46250.970706319444</x:v>
      </x:c>
    </x:row>
    <x:row r="72">
      <x:c r="A72" s="20" t="str">
        <x:v>Samusik 05</x:v>
      </x:c>
      <x:c r="B72" s="20" t="str">
        <x:v>kNN+Leiden</x:v>
      </x:c>
      <x:c r="C72" s="34" t="str">
        <x:v>ok</x:v>
      </x:c>
      <x:c r="D72" s="21" t="n">
        <x:v>84610</x:v>
      </x:c>
      <x:c r="E72" s="21" t="n">
        <x:v>39</x:v>
      </x:c>
      <x:c r="F72" s="22" t="n">
        <x:v>0.2928609610928294</x:v>
      </x:c>
      <x:c r="G72" s="22" t="n">
        <x:v>0</x:v>
      </x:c>
      <x:c r="H72" s="22" t="n">
        <x:v>0.22483779697337195</x:v>
      </x:c>
      <x:c r="I72" s="22" t="n">
        <x:v>0.5161020808368496</x:v>
      </x:c>
      <x:c r="J72" s="22" t="n">
        <x:v>0.48651653702318015</x:v>
      </x:c>
      <x:c r="K72" s="23" t="n">
        <x:v>13</x:v>
      </x:c>
      <x:c r="L72" s="23" t="n">
        <x:v>24</x:v>
      </x:c>
      <x:c r="M72" s="22" t="n">
        <x:v>0</x:v>
      </x:c>
      <x:c r="N72" s="23" t="n">
        <x:v>20.398662499996135</x:v>
      </x:c>
      <x:c r="O72" s="23" t="n">
        <x:v>701.1328125</x:v>
      </x:c>
      <x:c r="P72" s="20"/>
      <x:c r="Q72" s="39"/>
      <x:c r="R72" s="33" t="n">
        <x:v>1</x:v>
      </x:c>
      <x:c r="S72" s="20" t="str">
        <x:v>cytometry__samusik_05__kNN+Leiden__42__038d932a3fe7</x:v>
      </x:c>
      <x:c r="T72" s="24" t="n">
        <x:v>46250.97094261574</x:v>
      </x:c>
    </x:row>
    <x:row r="73">
      <x:c r="A73" s="20" t="str">
        <x:v>Samusik 05</x:v>
      </x:c>
      <x:c r="B73" s="20" t="str">
        <x:v>StrataSCAN</x:v>
      </x:c>
      <x:c r="C73" s="34" t="str">
        <x:v>ok</x:v>
      </x:c>
      <x:c r="D73" s="21" t="n">
        <x:v>84610</x:v>
      </x:c>
      <x:c r="E73" s="21" t="n">
        <x:v>39</x:v>
      </x:c>
      <x:c r="F73" s="22" t="n">
        <x:v>0.24398368689128183</x:v>
      </x:c>
      <x:c r="G73" s="22" t="n">
        <x:v>0.041666666666666664</x:v>
      </x:c>
      <x:c r="H73" s="22" t="n">
        <x:v>0.5123491204952421</x:v>
      </x:c>
      <x:c r="I73" s="22" t="n">
        <x:v>0.29379942424081534</x:v>
      </x:c>
      <x:c r="J73" s="22" t="n">
        <x:v>0.2734276641084646</x:v>
      </x:c>
      <x:c r="K73" s="23" t="n">
        <x:v>493</x:v>
      </x:c>
      <x:c r="L73" s="23" t="n">
        <x:v>24</x:v>
      </x:c>
      <x:c r="M73" s="22" t="n">
        <x:v>0.3750186613585469</x:v>
      </x:c>
      <x:c r="N73" s="23" t="n">
        <x:v>17.878120500005025</x:v>
      </x:c>
      <x:c r="O73" s="23" t="n">
        <x:v>485.0078125</x:v>
      </x:c>
      <x:c r="P73" s="20"/>
      <x:c r="Q73" s="39"/>
      <x:c r="R73" s="33" t="n">
        <x:v>1</x:v>
      </x:c>
      <x:c r="S73" s="20" t="str">
        <x:v>cytometry__samusik_05__StrataSCAN__42__839beeae6f7d</x:v>
      </x:c>
      <x:c r="T73" s="24" t="n">
        <x:v>46250.97115055555</x:v>
      </x:c>
    </x:row>
    <x:row r="74">
      <x:c r="A74" s="20" t="str">
        <x:v>Samusik 06</x:v>
      </x:c>
      <x:c r="B74" s="20" t="str">
        <x:v>DBSCAN</x:v>
      </x:c>
      <x:c r="C74" s="34" t="str">
        <x:v>ok</x:v>
      </x:c>
      <x:c r="D74" s="21" t="n">
        <x:v>77282</x:v>
      </x:c>
      <x:c r="E74" s="21" t="n">
        <x:v>39</x:v>
      </x:c>
      <x:c r="F74" s="22" t="n">
        <x:v>0.009930804289590442</x:v>
      </x:c>
      <x:c r="G74" s="22" t="n">
        <x:v>0</x:v>
      </x:c>
      <x:c r="H74" s="22" t="n">
        <x:v>0.1071255568831217</x:v>
      </x:c>
      <x:c r="I74" s="22" t="n">
        <x:v>0.00800823874697741</x:v>
      </x:c>
      <x:c r="J74" s="22" t="n">
        <x:v>0.025392040460477043</x:v>
      </x:c>
      <x:c r="K74" s="23" t="n">
        <x:v>9</x:v>
      </x:c>
      <x:c r="L74" s="23" t="n">
        <x:v>24</x:v>
      </x:c>
      <x:c r="M74" s="22" t="n">
        <x:v>0.5494844857073052</x:v>
      </x:c>
      <x:c r="N74" s="23" t="n">
        <x:v>34.937738600005105</x:v>
      </x:c>
      <x:c r="O74" s="23" t="n">
        <x:v>243.30078125</x:v>
      </x:c>
      <x:c r="P74" s="20"/>
      <x:c r="Q74" s="39"/>
      <x:c r="R74" s="33" t="n">
        <x:v>1</x:v>
      </x:c>
      <x:c r="S74" s="20" t="str">
        <x:v>cytometry__samusik_06__DBSCAN__42__0d57077800ae</x:v>
      </x:c>
      <x:c r="T74" s="24" t="n">
        <x:v>46250.97155509259</x:v>
      </x:c>
    </x:row>
    <x:row r="75">
      <x:c r="A75" s="20" t="str">
        <x:v>Samusik 06</x:v>
      </x:c>
      <x:c r="B75" s="20" t="str">
        <x:v>HDBSCAN</x:v>
      </x:c>
      <x:c r="C75" s="34" t="str">
        <x:v>ok</x:v>
      </x:c>
      <x:c r="D75" s="21" t="n">
        <x:v>77282</x:v>
      </x:c>
      <x:c r="E75" s="21" t="n">
        <x:v>39</x:v>
      </x:c>
      <x:c r="F75" s="22" t="n">
        <x:v>0.034709855598115</x:v>
      </x:c>
      <x:c r="G75" s="22" t="n">
        <x:v>0</x:v>
      </x:c>
      <x:c r="H75" s="22" t="n">
        <x:v>0.03363509796632174</x:v>
      </x:c>
      <x:c r="I75" s="22" t="n">
        <x:v>0.06319276954617987</x:v>
      </x:c>
      <x:c r="J75" s="22" t="n">
        <x:v>0.10189933808389504</x:v>
      </x:c>
      <x:c r="K75" s="23" t="n">
        <x:v>2</x:v>
      </x:c>
      <x:c r="L75" s="23" t="n">
        <x:v>24</x:v>
      </x:c>
      <x:c r="M75" s="22" t="n">
        <x:v>0.1655970208382854</x:v>
      </x:c>
      <x:c r="N75" s="23" t="n">
        <x:v>774.1547399999981</x:v>
      </x:c>
      <x:c r="O75" s="23" t="n">
        <x:v>241.69140625</x:v>
      </x:c>
      <x:c r="P75" s="20"/>
      <x:c r="Q75" s="39"/>
      <x:c r="R75" s="33" t="n">
        <x:v>1</x:v>
      </x:c>
      <x:c r="S75" s="20" t="str">
        <x:v>cytometry__samusik_06__HDBSCAN__42__3f5c95b39274</x:v>
      </x:c>
      <x:c r="T75" s="24" t="n">
        <x:v>46250.98051541667</x:v>
      </x:c>
    </x:row>
    <x:row r="76">
      <x:c r="A76" s="20" t="str">
        <x:v>Samusik 06</x:v>
      </x:c>
      <x:c r="B76" s="20" t="str">
        <x:v>OPTICS</x:v>
      </x:c>
      <x:c r="C76" s="34" t="str">
        <x:v>ok</x:v>
      </x:c>
      <x:c r="D76" s="21" t="n">
        <x:v>77282</x:v>
      </x:c>
      <x:c r="E76" s="21" t="n">
        <x:v>39</x:v>
      </x:c>
      <x:c r="F76" s="22" t="n">
        <x:v>0.00014645577035735208</x:v>
      </x:c>
      <x:c r="G76" s="22" t="n">
        <x:v>0</x:v>
      </x:c>
      <x:c r="H76" s="22" t="n">
        <x:v>0.018518518518518517</x:v>
      </x:c>
      <x:c r="I76" s="22" t="n">
        <x:v>0.00007351860020585208</x:v>
      </x:c>
      <x:c r="J76" s="22" t="n">
        <x:v>8.294040603959596e-8</x:v>
      </x:c>
      <x:c r="K76" s="23" t="n">
        <x:v>3</x:v>
      </x:c>
      <x:c r="L76" s="23" t="n">
        <x:v>24</x:v>
      </x:c>
      <x:c r="M76" s="22" t="n">
        <x:v>0.578102431529849</x:v>
      </x:c>
      <x:c r="N76" s="23" t="n">
        <x:v>101.13007180000568</x:v>
      </x:c>
      <x:c r="O76" s="23" t="n">
        <x:v>243.12890625</x:v>
      </x:c>
      <x:c r="P76" s="20"/>
      <x:c r="Q76" s="39"/>
      <x:c r="R76" s="33" t="n">
        <x:v>1</x:v>
      </x:c>
      <x:c r="S76" s="20" t="str">
        <x:v>cytometry__samusik_06__OPTICS__42__2bc852f6699f</x:v>
      </x:c>
      <x:c r="T76" s="24" t="n">
        <x:v>46250.98168611111</x:v>
      </x:c>
    </x:row>
    <x:row r="77">
      <x:c r="A77" s="20" t="str">
        <x:v>Samusik 06</x:v>
      </x:c>
      <x:c r="B77" s="20" t="str">
        <x:v>SNN-DBSCAN</x:v>
      </x:c>
      <x:c r="C77" s="34" t="str">
        <x:v>ok</x:v>
      </x:c>
      <x:c r="D77" s="21" t="n">
        <x:v>77282</x:v>
      </x:c>
      <x:c r="E77" s="21" t="n">
        <x:v>39</x:v>
      </x:c>
      <x:c r="F77" s="22" t="n">
        <x:v>0.0752176989484034</x:v>
      </x:c>
      <x:c r="G77" s="22" t="n">
        <x:v>0</x:v>
      </x:c>
      <x:c r="H77" s="22" t="n">
        <x:v>0.4136935891971058</x:v>
      </x:c>
      <x:c r="I77" s="22" t="n">
        <x:v>0.05756021651306654</x:v>
      </x:c>
      <x:c r="J77" s="22" t="n">
        <x:v>0.000021356395697270977</x:v>
      </x:c>
      <x:c r="K77" s="23" t="n">
        <x:v>62</x:v>
      </x:c>
      <x:c r="L77" s="23" t="n">
        <x:v>24</x:v>
      </x:c>
      <x:c r="M77" s="22" t="n">
        <x:v>0.5744958492591599</x:v>
      </x:c>
      <x:c r="N77" s="23" t="n">
        <x:v>11.967009899999539</x:v>
      </x:c>
      <x:c r="O77" s="23" t="n">
        <x:v>316.9921875</x:v>
      </x:c>
      <x:c r="P77" s="20"/>
      <x:c r="Q77" s="39"/>
      <x:c r="R77" s="33" t="n">
        <x:v>1</x:v>
      </x:c>
      <x:c r="S77" s="20" t="str">
        <x:v>cytometry__samusik_06__SNN-DBSCAN__42__ab1ec6cfcb50</x:v>
      </x:c>
      <x:c r="T77" s="24" t="n">
        <x:v>46250.98182483796</x:v>
      </x:c>
    </x:row>
    <x:row r="78">
      <x:c r="A78" s="20" t="str">
        <x:v>Samusik 06</x:v>
      </x:c>
      <x:c r="B78" s="20" t="str">
        <x:v>VDBSCAN-2007</x:v>
      </x:c>
      <x:c r="C78" s="34" t="str">
        <x:v>ok</x:v>
      </x:c>
      <x:c r="D78" s="21" t="n">
        <x:v>77282</x:v>
      </x:c>
      <x:c r="E78" s="21" t="n">
        <x:v>39</x:v>
      </x:c>
      <x:c r="F78" s="22" t="n">
        <x:v>0.035203524043200214</x:v>
      </x:c>
      <x:c r="G78" s="22" t="n">
        <x:v>0</x:v>
      </x:c>
      <x:c r="H78" s="22" t="n">
        <x:v>0.10615933832073753</x:v>
      </x:c>
      <x:c r="I78" s="22" t="n">
        <x:v>0.06373636381428832</x:v>
      </x:c>
      <x:c r="J78" s="22" t="n">
        <x:v>0.10142653193503655</x:v>
      </x:c>
      <x:c r="K78" s="23" t="n">
        <x:v>9</x:v>
      </x:c>
      <x:c r="L78" s="23" t="n">
        <x:v>24</x:v>
      </x:c>
      <x:c r="M78" s="22" t="n">
        <x:v>0.15711999999999998</x:v>
      </x:c>
      <x:c r="N78" s="23" t="n">
        <x:v>64.08817379999527</x:v>
      </x:c>
      <x:c r="O78" s="23" t="n">
        <x:v>5800.61328125</x:v>
      </x:c>
      <x:c r="P78" s="20"/>
      <x:c r="Q78" s="39"/>
      <x:c r="R78" s="33" t="n">
        <x:v>1</x:v>
      </x:c>
      <x:c r="S78" s="20" t="str">
        <x:v>cytometry__samusik_06__VDBSCAN-2007__42__6b0726d3d130</x:v>
      </x:c>
      <x:c r="T78" s="24" t="n">
        <x:v>46250.982566782404</x:v>
      </x:c>
    </x:row>
    <x:row r="79">
      <x:c r="A79" s="20" t="str">
        <x:v>Samusik 06</x:v>
      </x:c>
      <x:c r="B79" s="20" t="str">
        <x:v>AMD-DBSCAN</x:v>
      </x:c>
      <x:c r="C79" s="35" t="str">
        <x:v>error</x:v>
      </x:c>
      <x:c r="D79" s="21"/>
      <x:c r="E79" s="21"/>
      <x:c r="F79" s="22"/>
      <x:c r="G79" s="22"/>
      <x:c r="H79" s="22"/>
      <x:c r="I79" s="22"/>
      <x:c r="J79" s="22"/>
      <x:c r="K79" s="23"/>
      <x:c r="L79" s="23"/>
      <x:c r="M79" s="22"/>
      <x:c r="N79" s="23" t="n">
        <x:v>4.282288499998685</x:v>
      </x:c>
      <x:c r="O79" s="23" t="n">
        <x:v>245.6953125</x:v>
      </x:c>
      <x:c r="P79" s="20" t="str">
        <x:v>MemoryError</x:v>
      </x:c>
      <x:c r="Q79" s="39" t="str">
        <x:v>Unable to allocate 44.5 GiB for an array with shape (77282, 77282) and data type float64</x:v>
      </x:c>
      <x:c r="R79" s="33" t="n">
        <x:v>1</x:v>
      </x:c>
      <x:c r="S79" s="20" t="str">
        <x:v>cytometry__samusik_06__AMD-DBSCAN__42__399403a978f1</x:v>
      </x:c>
      <x:c r="T79" s="24" t="n">
        <x:v>46250.98261650463</x:v>
      </x:c>
    </x:row>
    <x:row r="80">
      <x:c r="A80" s="20" t="str">
        <x:v>Samusik 06</x:v>
      </x:c>
      <x:c r="B80" s="20" t="str">
        <x:v>kNN-DBSCAN</x:v>
      </x:c>
      <x:c r="C80" s="34" t="str">
        <x:v>ok</x:v>
      </x:c>
      <x:c r="D80" s="21" t="n">
        <x:v>77282</x:v>
      </x:c>
      <x:c r="E80" s="21" t="n">
        <x:v>39</x:v>
      </x:c>
      <x:c r="F80" s="22" t="n">
        <x:v>0.009952614918782302</x:v>
      </x:c>
      <x:c r="G80" s="22" t="n">
        <x:v>0</x:v>
      </x:c>
      <x:c r="H80" s="22" t="n">
        <x:v>0.09879490561422737</x:v>
      </x:c>
      <x:c r="I80" s="22" t="n">
        <x:v>0.008005974983103651</x:v>
      </x:c>
      <x:c r="J80" s="22" t="n">
        <x:v>0.025262060051550097</x:v>
      </x:c>
      <x:c r="K80" s="23" t="n">
        <x:v>10</x:v>
      </x:c>
      <x:c r="L80" s="23" t="n">
        <x:v>24</x:v>
      </x:c>
      <x:c r="M80" s="22" t="n">
        <x:v>0.5495231394621638</x:v>
      </x:c>
      <x:c r="N80" s="23" t="n">
        <x:v>10.484565399994608</x:v>
      </x:c>
      <x:c r="O80" s="23" t="n">
        <x:v>240.8671875</x:v>
      </x:c>
      <x:c r="P80" s="20"/>
      <x:c r="Q80" s="39"/>
      <x:c r="R80" s="33" t="n">
        <x:v>1</x:v>
      </x:c>
      <x:c r="S80" s="20" t="str">
        <x:v>cytometry__samusik_06__kNN-DBSCAN__42__97a6d1e91a7a</x:v>
      </x:c>
      <x:c r="T80" s="24" t="n">
        <x:v>46250.9827380787</x:v>
      </x:c>
    </x:row>
    <x:row r="81">
      <x:c r="A81" s="20" t="str">
        <x:v>Samusik 06</x:v>
      </x:c>
      <x:c r="B81" s="20" t="str">
        <x:v>kNN+Leiden</x:v>
      </x:c>
      <x:c r="C81" s="34" t="str">
        <x:v>ok</x:v>
      </x:c>
      <x:c r="D81" s="21" t="n">
        <x:v>77282</x:v>
      </x:c>
      <x:c r="E81" s="21" t="n">
        <x:v>39</x:v>
      </x:c>
      <x:c r="F81" s="22" t="n">
        <x:v>0.2777600583038859</x:v>
      </x:c>
      <x:c r="G81" s="22" t="n">
        <x:v>0</x:v>
      </x:c>
      <x:c r="H81" s="22" t="n">
        <x:v>0.219479507485292</x:v>
      </x:c>
      <x:c r="I81" s="22" t="n">
        <x:v>0.4555432002386959</x:v>
      </x:c>
      <x:c r="J81" s="22" t="n">
        <x:v>0.4685409472586407</x:v>
      </x:c>
      <x:c r="K81" s="23" t="n">
        <x:v>13</x:v>
      </x:c>
      <x:c r="L81" s="23" t="n">
        <x:v>24</x:v>
      </x:c>
      <x:c r="M81" s="22" t="n">
        <x:v>0</x:v>
      </x:c>
      <x:c r="N81" s="23" t="n">
        <x:v>30.217473400000017</x:v>
      </x:c>
      <x:c r="O81" s="23" t="n">
        <x:v>662.4140625</x:v>
      </x:c>
      <x:c r="P81" s="20"/>
      <x:c r="Q81" s="39"/>
      <x:c r="R81" s="33" t="n">
        <x:v>1</x:v>
      </x:c>
      <x:c r="S81" s="20" t="str">
        <x:v>cytometry__samusik_06__kNN+Leiden__42__00faf1c45256</x:v>
      </x:c>
      <x:c r="T81" s="24" t="n">
        <x:v>46250.98308799769</x:v>
      </x:c>
    </x:row>
    <x:row r="82">
      <x:c r="A82" s="20" t="str">
        <x:v>Samusik 06</x:v>
      </x:c>
      <x:c r="B82" s="20" t="str">
        <x:v>StrataSCAN</x:v>
      </x:c>
      <x:c r="C82" s="34" t="str">
        <x:v>ok</x:v>
      </x:c>
      <x:c r="D82" s="21" t="n">
        <x:v>77282</x:v>
      </x:c>
      <x:c r="E82" s="21" t="n">
        <x:v>39</x:v>
      </x:c>
      <x:c r="F82" s="22" t="n">
        <x:v>0.25541838276119616</x:v>
      </x:c>
      <x:c r="G82" s="22" t="n">
        <x:v>0.08333333333333333</x:v>
      </x:c>
      <x:c r="H82" s="22" t="n">
        <x:v>0.4371097516394888</x:v>
      </x:c>
      <x:c r="I82" s="22" t="n">
        <x:v>0.2665844723551023</x:v>
      </x:c>
      <x:c r="J82" s="22" t="n">
        <x:v>0.17252217624712882</x:v>
      </x:c>
      <x:c r="K82" s="23" t="n">
        <x:v>577</x:v>
      </x:c>
      <x:c r="L82" s="23" t="n">
        <x:v>24</x:v>
      </x:c>
      <x:c r="M82" s="22" t="n">
        <x:v>0.3962207926519308</x:v>
      </x:c>
      <x:c r="N82" s="23" t="n">
        <x:v>16.34301950000372</x:v>
      </x:c>
      <x:c r="O82" s="23" t="n">
        <x:v>471.89453125</x:v>
      </x:c>
      <x:c r="P82" s="20"/>
      <x:c r="Q82" s="39"/>
      <x:c r="R82" s="33" t="n">
        <x:v>1</x:v>
      </x:c>
      <x:c r="S82" s="20" t="str">
        <x:v>cytometry__samusik_06__StrataSCAN__42__981ca08e7408</x:v>
      </x:c>
      <x:c r="T82" s="24" t="n">
        <x:v>46250.98327804398</x:v>
      </x:c>
    </x:row>
    <x:row r="83">
      <x:c r="A83" s="20" t="str">
        <x:v>Samusik 07</x:v>
      </x:c>
      <x:c r="B83" s="20" t="str">
        <x:v>DBSCAN</x:v>
      </x:c>
      <x:c r="C83" s="34" t="str">
        <x:v>ok</x:v>
      </x:c>
      <x:c r="D83" s="21" t="n">
        <x:v>95087</x:v>
      </x:c>
      <x:c r="E83" s="21" t="n">
        <x:v>39</x:v>
      </x:c>
      <x:c r="F83" s="22" t="n">
        <x:v>0.007781229830245626</x:v>
      </x:c>
      <x:c r="G83" s="22" t="n">
        <x:v>0</x:v>
      </x:c>
      <x:c r="H83" s="22" t="n">
        <x:v>0.11832374691865243</x:v>
      </x:c>
      <x:c r="I83" s="22" t="n">
        <x:v>0.00819682808714277</x:v>
      </x:c>
      <x:c r="J83" s="22" t="n">
        <x:v>0.01185431604178844</x:v>
      </x:c>
      <x:c r="K83" s="23" t="n">
        <x:v>19</x:v>
      </x:c>
      <x:c r="L83" s="23" t="n">
        <x:v>24</x:v>
      </x:c>
      <x:c r="M83" s="22" t="n">
        <x:v>0.5510035484150151</x:v>
      </x:c>
      <x:c r="N83" s="23" t="n">
        <x:v>49.667718899996544</x:v>
      </x:c>
      <x:c r="O83" s="23" t="n">
        <x:v>255.39453125</x:v>
      </x:c>
      <x:c r="P83" s="20"/>
      <x:c r="Q83" s="39"/>
      <x:c r="R83" s="33" t="n">
        <x:v>1</x:v>
      </x:c>
      <x:c r="S83" s="20" t="str">
        <x:v>cytometry__samusik_07__DBSCAN__42__657c4ed71f34</x:v>
      </x:c>
      <x:c r="T83" s="24" t="n">
        <x:v>46250.983853125</x:v>
      </x:c>
    </x:row>
    <x:row r="84">
      <x:c r="A84" s="20" t="str">
        <x:v>Samusik 07</x:v>
      </x:c>
      <x:c r="B84" s="20" t="str">
        <x:v>HDBSCAN</x:v>
      </x:c>
      <x:c r="C84" s="34" t="str">
        <x:v>ok</x:v>
      </x:c>
      <x:c r="D84" s="21" t="n">
        <x:v>95087</x:v>
      </x:c>
      <x:c r="E84" s="21" t="n">
        <x:v>39</x:v>
      </x:c>
      <x:c r="F84" s="22" t="n">
        <x:v>0.041634005346921</x:v>
      </x:c>
      <x:c r="G84" s="22" t="n">
        <x:v>0</x:v>
      </x:c>
      <x:c r="H84" s="22" t="n">
        <x:v>0.034122313784381554</x:v>
      </x:c>
      <x:c r="I84" s="22" t="n">
        <x:v>0.07446140473639963</x:v>
      </x:c>
      <x:c r="J84" s="22" t="n">
        <x:v>0.10131635732706773</x:v>
      </x:c>
      <x:c r="K84" s="23" t="n">
        <x:v>2</x:v>
      </x:c>
      <x:c r="L84" s="23" t="n">
        <x:v>24</x:v>
      </x:c>
      <x:c r="M84" s="22" t="n">
        <x:v>0.10685867596138411</x:v>
      </x:c>
      <x:c r="N84" s="23" t="n">
        <x:v>1175.5027685000023</x:v>
      </x:c>
      <x:c r="O84" s="23" t="n">
        <x:v>257.27734375</x:v>
      </x:c>
      <x:c r="P84" s="20"/>
      <x:c r="Q84" s="39"/>
      <x:c r="R84" s="33" t="n">
        <x:v>1</x:v>
      </x:c>
      <x:c r="S84" s="20" t="str">
        <x:v>cytometry__samusik_07__HDBSCAN__42__c7e8705ef55c</x:v>
      </x:c>
      <x:c r="T84" s="24" t="n">
        <x:v>46250.997458645834</x:v>
      </x:c>
    </x:row>
    <x:row r="85">
      <x:c r="A85" s="20" t="str">
        <x:v>Samusik 07</x:v>
      </x:c>
      <x:c r="B85" s="20" t="str">
        <x:v>OPTICS</x:v>
      </x:c>
      <x:c r="C85" s="34" t="str">
        <x:v>ok</x:v>
      </x:c>
      <x:c r="D85" s="21" t="n">
        <x:v>95087</x:v>
      </x:c>
      <x:c r="E85" s="21" t="n">
        <x:v>39</x:v>
      </x:c>
      <x:c r="F85" s="22" t="n">
        <x:v>0.00037528312645899466</x:v>
      </x:c>
      <x:c r="G85" s="22" t="n">
        <x:v>0</x:v>
      </x:c>
      <x:c r="H85" s="22" t="n">
        <x:v>0.060716454159077116</x:v>
      </x:c>
      <x:c r="I85" s="22" t="n">
        <x:v>0.00018833276329329168</x:v>
      </x:c>
      <x:c r="J85" s="22" t="n">
        <x:v>0.000013433679534830226</x:v>
      </x:c>
      <x:c r="K85" s="23" t="n">
        <x:v>2</x:v>
      </x:c>
      <x:c r="L85" s="23" t="n">
        <x:v>24</x:v>
      </x:c>
      <x:c r="M85" s="22" t="n">
        <x:v>0.5861917620716076</x:v>
      </x:c>
      <x:c r="N85" s="23" t="n">
        <x:v>133.82310670000152</x:v>
      </x:c>
      <x:c r="O85" s="23" t="n">
        <x:v>256.55859375</x:v>
      </x:c>
      <x:c r="P85" s="20"/>
      <x:c r="Q85" s="39"/>
      <x:c r="R85" s="33" t="n">
        <x:v>1</x:v>
      </x:c>
      <x:c r="S85" s="20" t="str">
        <x:v>cytometry__samusik_07__OPTICS__42__d05e681ec050</x:v>
      </x:c>
      <x:c r="T85" s="24" t="n">
        <x:v>46250.99900769676</x:v>
      </x:c>
    </x:row>
    <x:row r="86">
      <x:c r="A86" s="20" t="str">
        <x:v>Samusik 07</x:v>
      </x:c>
      <x:c r="B86" s="20" t="str">
        <x:v>SNN-DBSCAN</x:v>
      </x:c>
      <x:c r="C86" s="34" t="str">
        <x:v>ok</x:v>
      </x:c>
      <x:c r="D86" s="21" t="n">
        <x:v>95087</x:v>
      </x:c>
      <x:c r="E86" s="21" t="n">
        <x:v>39</x:v>
      </x:c>
      <x:c r="F86" s="22" t="n">
        <x:v>0.040078236012669986</x:v>
      </x:c>
      <x:c r="G86" s="22" t="n">
        <x:v>0.041666666666666664</x:v>
      </x:c>
      <x:c r="H86" s="22" t="n">
        <x:v>0.38240573573811565</x:v>
      </x:c>
      <x:c r="I86" s="22" t="n">
        <x:v>0.025768679269487064</x:v>
      </x:c>
      <x:c r="J86" s="22" t="n">
        <x:v>0.000010162800653282079</x:v>
      </x:c>
      <x:c r="K86" s="23" t="n">
        <x:v>53</x:v>
      </x:c>
      <x:c r="L86" s="23" t="n">
        <x:v>24</x:v>
      </x:c>
      <x:c r="M86" s="22" t="n">
        <x:v>0.5834502941439962</x:v>
      </x:c>
      <x:c r="N86" s="23" t="n">
        <x:v>14.529507200000808</x:v>
      </x:c>
      <x:c r="O86" s="23" t="n">
        <x:v>348.51171875</x:v>
      </x:c>
      <x:c r="P86" s="20"/>
      <x:c r="Q86" s="39"/>
      <x:c r="R86" s="33" t="n">
        <x:v>1</x:v>
      </x:c>
      <x:c r="S86" s="20" t="str">
        <x:v>cytometry__samusik_07__SNN-DBSCAN__42__f1b45faffede</x:v>
      </x:c>
      <x:c r="T86" s="24" t="n">
        <x:v>46250.999176087964</x:v>
      </x:c>
    </x:row>
    <x:row r="87">
      <x:c r="A87" s="20" t="str">
        <x:v>Samusik 07</x:v>
      </x:c>
      <x:c r="B87" s="20" t="str">
        <x:v>VDBSCAN-2007</x:v>
      </x:c>
      <x:c r="C87" s="34" t="str">
        <x:v>ok</x:v>
      </x:c>
      <x:c r="D87" s="21" t="n">
        <x:v>95087</x:v>
      </x:c>
      <x:c r="E87" s="21" t="n">
        <x:v>39</x:v>
      </x:c>
      <x:c r="F87" s="22" t="n">
        <x:v>0.041979520277311555</x:v>
      </x:c>
      <x:c r="G87" s="22" t="n">
        <x:v>0</x:v>
      </x:c>
      <x:c r="H87" s="22" t="n">
        <x:v>0.10336246318181562</x:v>
      </x:c>
      <x:c r="I87" s="22" t="n">
        <x:v>0.06885524303684497</x:v>
      </x:c>
      <x:c r="J87" s="22" t="n">
        <x:v>0.10415689084743074</x:v>
      </x:c>
      <x:c r="K87" s="23" t="n">
        <x:v>10</x:v>
      </x:c>
      <x:c r="L87" s="23" t="n">
        <x:v>24</x:v>
      </x:c>
      <x:c r="M87" s="22" t="n">
        <x:v>0.16583712348751398</x:v>
      </x:c>
      <x:c r="N87" s="23" t="n">
        <x:v>110.37775959999999</x:v>
      </x:c>
      <x:c r="O87" s="23" t="n">
        <x:v>7465.8828125</x:v>
      </x:c>
      <x:c r="P87" s="20"/>
      <x:c r="Q87" s="39"/>
      <x:c r="R87" s="33" t="n">
        <x:v>1</x:v>
      </x:c>
      <x:c r="S87" s="20" t="str">
        <x:v>cytometry__samusik_07__VDBSCAN-2007__42__76dc602446e7</x:v>
      </x:c>
      <x:c r="T87" s="24" t="n">
        <x:v>46251.00045378472</x:v>
      </x:c>
    </x:row>
    <x:row r="88">
      <x:c r="A88" s="20" t="str">
        <x:v>Samusik 07</x:v>
      </x:c>
      <x:c r="B88" s="20" t="str">
        <x:v>AMD-DBSCAN</x:v>
      </x:c>
      <x:c r="C88" s="35" t="str">
        <x:v>error</x:v>
      </x:c>
      <x:c r="D88" s="21"/>
      <x:c r="E88" s="21"/>
      <x:c r="F88" s="22"/>
      <x:c r="G88" s="22"/>
      <x:c r="H88" s="22"/>
      <x:c r="I88" s="22"/>
      <x:c r="J88" s="22"/>
      <x:c r="K88" s="23"/>
      <x:c r="L88" s="23"/>
      <x:c r="M88" s="22"/>
      <x:c r="N88" s="23" t="n">
        <x:v>4.576803700001619</x:v>
      </x:c>
      <x:c r="O88" s="23" t="n">
        <x:v>257.34765625</x:v>
      </x:c>
      <x:c r="P88" s="20" t="str">
        <x:v>MemoryError</x:v>
      </x:c>
      <x:c r="Q88" s="39" t="str">
        <x:v>Unable to allocate 67.4 GiB for an array with shape (95087, 95087) and data type float64</x:v>
      </x:c>
      <x:c r="R88" s="33" t="n">
        <x:v>1</x:v>
      </x:c>
      <x:c r="S88" s="20" t="str">
        <x:v>cytometry__samusik_07__AMD-DBSCAN__42__5704a12a4a75</x:v>
      </x:c>
      <x:c r="T88" s="24" t="n">
        <x:v>46251.00050689815</x:v>
      </x:c>
    </x:row>
    <x:row r="89">
      <x:c r="A89" s="20" t="str">
        <x:v>Samusik 07</x:v>
      </x:c>
      <x:c r="B89" s="20" t="str">
        <x:v>kNN-DBSCAN</x:v>
      </x:c>
      <x:c r="C89" s="34" t="str">
        <x:v>ok</x:v>
      </x:c>
      <x:c r="D89" s="21" t="n">
        <x:v>95087</x:v>
      </x:c>
      <x:c r="E89" s="21" t="n">
        <x:v>39</x:v>
      </x:c>
      <x:c r="F89" s="22" t="n">
        <x:v>0.007756038503061048</x:v>
      </x:c>
      <x:c r="G89" s="22" t="n">
        <x:v>0</x:v>
      </x:c>
      <x:c r="H89" s="22" t="n">
        <x:v>0.11831438438851449</x:v>
      </x:c>
      <x:c r="I89" s="22" t="n">
        <x:v>0.008151817799076927</x:v>
      </x:c>
      <x:c r="J89" s="22" t="n">
        <x:v>0.011712666812774438</x:v>
      </x:c>
      <x:c r="K89" s="23" t="n">
        <x:v>21</x:v>
      </x:c>
      <x:c r="L89" s="23" t="n">
        <x:v>24</x:v>
      </x:c>
      <x:c r="M89" s="22" t="n">
        <x:v>0.5510486649778938</x:v>
      </x:c>
      <x:c r="N89" s="23" t="n">
        <x:v>11.723078299997724</x:v>
      </x:c>
      <x:c r="O89" s="23" t="n">
        <x:v>255.4140625</x:v>
      </x:c>
      <x:c r="P89" s="20"/>
      <x:c r="Q89" s="39"/>
      <x:c r="R89" s="33" t="n">
        <x:v>1</x:v>
      </x:c>
      <x:c r="S89" s="20" t="str">
        <x:v>cytometry__samusik_07__kNN-DBSCAN__42__6881f61b4d2e</x:v>
      </x:c>
      <x:c r="T89" s="24" t="n">
        <x:v>46251.00064275463</x:v>
      </x:c>
    </x:row>
    <x:row r="90">
      <x:c r="A90" s="20" t="str">
        <x:v>Samusik 07</x:v>
      </x:c>
      <x:c r="B90" s="20" t="str">
        <x:v>kNN+Leiden</x:v>
      </x:c>
      <x:c r="C90" s="34" t="str">
        <x:v>ok</x:v>
      </x:c>
      <x:c r="D90" s="21" t="n">
        <x:v>95087</x:v>
      </x:c>
      <x:c r="E90" s="21" t="n">
        <x:v>39</x:v>
      </x:c>
      <x:c r="F90" s="22" t="n">
        <x:v>0.29134481408163687</x:v>
      </x:c>
      <x:c r="G90" s="22" t="n">
        <x:v>0</x:v>
      </x:c>
      <x:c r="H90" s="22" t="n">
        <x:v>0.23021334861895226</x:v>
      </x:c>
      <x:c r="I90" s="22" t="n">
        <x:v>0.4815972514282921</x:v>
      </x:c>
      <x:c r="J90" s="22" t="n">
        <x:v>0.5147678472812015</x:v>
      </x:c>
      <x:c r="K90" s="23" t="n">
        <x:v>14</x:v>
      </x:c>
      <x:c r="L90" s="23" t="n">
        <x:v>24</x:v>
      </x:c>
      <x:c r="M90" s="22" t="n">
        <x:v>0</x:v>
      </x:c>
      <x:c r="N90" s="23" t="n">
        <x:v>44.83608850000019</x:v>
      </x:c>
      <x:c r="O90" s="23" t="n">
        <x:v>765.19140625</x:v>
      </x:c>
      <x:c r="P90" s="20"/>
      <x:c r="Q90" s="39"/>
      <x:c r="R90" s="33" t="n">
        <x:v>1</x:v>
      </x:c>
      <x:c r="S90" s="20" t="str">
        <x:v>cytometry__samusik_07__kNN+Leiden__42__131a07a2ffd9</x:v>
      </x:c>
      <x:c r="T90" s="24" t="n">
        <x:v>46251.001161875</x:v>
      </x:c>
    </x:row>
    <x:row r="91">
      <x:c r="A91" s="20" t="str">
        <x:v>Samusik 07</x:v>
      </x:c>
      <x:c r="B91" s="20" t="str">
        <x:v>StrataSCAN</x:v>
      </x:c>
      <x:c r="C91" s="34" t="str">
        <x:v>ok</x:v>
      </x:c>
      <x:c r="D91" s="21" t="n">
        <x:v>95087</x:v>
      </x:c>
      <x:c r="E91" s="21" t="n">
        <x:v>39</x:v>
      </x:c>
      <x:c r="F91" s="22" t="n">
        <x:v>0.22351772170654483</x:v>
      </x:c>
      <x:c r="G91" s="22" t="n">
        <x:v>0.041666666666666664</x:v>
      </x:c>
      <x:c r="H91" s="22" t="n">
        <x:v>0.45132101965758203</x:v>
      </x:c>
      <x:c r="I91" s="22" t="n">
        <x:v>0.27981789376828986</x:v>
      </x:c>
      <x:c r="J91" s="22" t="n">
        <x:v>0.26951645619658154</x:v>
      </x:c>
      <x:c r="K91" s="23" t="n">
        <x:v>479</x:v>
      </x:c>
      <x:c r="L91" s="23" t="n">
        <x:v>24</x:v>
      </x:c>
      <x:c r="M91" s="22" t="n">
        <x:v>0.3789333530586582</x:v>
      </x:c>
      <x:c r="N91" s="23" t="n">
        <x:v>18.701816699998744</x:v>
      </x:c>
      <x:c r="O91" s="23" t="n">
        <x:v>525.37109375</x:v>
      </x:c>
      <x:c r="P91" s="20"/>
      <x:c r="Q91" s="39"/>
      <x:c r="R91" s="33" t="n">
        <x:v>1</x:v>
      </x:c>
      <x:c r="S91" s="20" t="str">
        <x:v>cytometry__samusik_07__StrataSCAN__42__47726a37d60b</x:v>
      </x:c>
      <x:c r="T91" s="24" t="n">
        <x:v>46251.00137928241</x:v>
      </x:c>
    </x:row>
    <x:row r="92">
      <x:c r="A92" s="25" t="str">
        <x:v>Samusik 08</x:v>
      </x:c>
      <x:c r="B92" s="25" t="str">
        <x:v>DBSCAN</x:v>
      </x:c>
      <x:c r="C92" s="37" t="str">
        <x:v>ok</x:v>
      </x:c>
      <x:c r="D92" s="26" t="n">
        <x:v>85741</x:v>
      </x:c>
      <x:c r="E92" s="26" t="n">
        <x:v>39</x:v>
      </x:c>
      <x:c r="F92" s="27" t="n">
        <x:v>0.007951386329602567</x:v>
      </x:c>
      <x:c r="G92" s="27" t="n">
        <x:v>0</x:v>
      </x:c>
      <x:c r="H92" s="27" t="n">
        <x:v>0.08667051592710384</x:v>
      </x:c>
      <x:c r="I92" s="27" t="n">
        <x:v>0.013296385035293462</x:v>
      </x:c>
      <x:c r="J92" s="27" t="n">
        <x:v>0.01367098345089277</x:v>
      </x:c>
      <x:c r="K92" s="28" t="n">
        <x:v>8</x:v>
      </x:c>
      <x:c r="L92" s="28" t="n">
        <x:v>24</x:v>
      </x:c>
      <x:c r="M92" s="27" t="n">
        <x:v>0.5352112676056338</x:v>
      </x:c>
      <x:c r="N92" s="28" t="n">
        <x:v>39.02894489999744</x:v>
      </x:c>
      <x:c r="O92" s="28" t="n">
        <x:v>250.9453125</x:v>
      </x:c>
      <x:c r="P92" s="25"/>
      <x:c r="Q92" s="40"/>
      <x:c r="R92" s="25" t="n">
        <x:v>0</x:v>
      </x:c>
      <x:c r="S92" s="25" t="str">
        <x:v>cytometry__samusik_08__DBSCAN__42__10d0281716b0</x:v>
      </x:c>
      <x:c r="T92" s="29" t="n">
        <x:v>46251.00183120371</x:v>
      </x:c>
    </x:row>
  </x:sheetData>
  <x:pageMargins left="0.7" right="0.7" top="0.75" bottom="0.75" header="0.3" footer="0.3"/>
  <x:tableParts count="1">
    <x:tablePart xmlns:r="http://schemas.openxmlformats.org/officeDocument/2006/relationships" r:id="Rb8143f84e3ff46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13.75" hidden="0" customWidth="1"/>
    <x:col min="3" max="3" width="15" hidden="0" customWidth="1"/>
    <x:col min="4" max="4" width="14" hidden="0" customWidth="1"/>
    <x:col min="5" max="5" width="56.25" hidden="0" customWidth="1"/>
    <x:col min="6" max="6" width="21.8799991607666" hidden="0" customWidth="1"/>
  </x:cols>
  <x:sheetData>
    <x:row r="1" ht="34" customHeight="1">
      <x:c r="A1" s="43" t="str">
        <x:v>Run plan and completion boundary</x:v>
      </x:c>
      <x:c r="B1" s="43" t="str">
        <x:v>Run plan and completion boundary</x:v>
      </x:c>
      <x:c r="C1" s="43" t="str">
        <x:v>Run plan and completion boundary</x:v>
      </x:c>
      <x:c r="D1" s="43" t="str">
        <x:v>Run plan and completion boundary</x:v>
      </x:c>
      <x:c r="E1" s="43" t="str">
        <x:v>Run plan and completion boundary</x:v>
      </x:c>
      <x:c r="F1" s="43" t="str">
        <x:v>Run plan and completion boundary</x:v>
      </x:c>
    </x:row>
    <x:row r="2">
      <x:c r="A2" s="44" t="str">
        <x:v>With max-workers=1, the first unwritten manifest entry is marked running (inferred); later unwritten entries are pending.</x:v>
      </x:c>
      <x:c r="B2" s="44" t="str">
        <x:v>With max-workers=1, the first unwritten manifest entry is marked running (inferred); later unwritten entries are pending.</x:v>
      </x:c>
      <x:c r="C2" s="44" t="str">
        <x:v>With max-workers=1, the first unwritten manifest entry is marked running (inferred); later unwritten entries are pending.</x:v>
      </x:c>
      <x:c r="D2" s="44" t="str">
        <x:v>With max-workers=1, the first unwritten manifest entry is marked running (inferred); later unwritten entries are pending.</x:v>
      </x:c>
      <x:c r="E2" s="44" t="str">
        <x:v>With max-workers=1, the first unwritten manifest entry is marked running (inferred); later unwritten entries are pending.</x:v>
      </x:c>
      <x:c r="F2" s="44" t="str">
        <x:v>With max-workers=1, the first unwritten manifest entry is marked running (inferred); later unwritten entries are pending.</x:v>
      </x:c>
    </x:row>
    <x:row r="4">
      <x:c r="A4" s="5" t="str">
        <x:v>Order</x:v>
      </x:c>
      <x:c r="B4" s="5" t="str">
        <x:v>Dataset</x:v>
      </x:c>
      <x:c r="C4" s="5" t="str">
        <x:v>Method</x:v>
      </x:c>
      <x:c r="D4" s="5" t="str">
        <x:v>State</x:v>
      </x:c>
      <x:c r="E4" s="5" t="str">
        <x:v>Job ID</x:v>
      </x:c>
      <x:c r="F4" s="5" t="str">
        <x:v>Result written at</x:v>
      </x:c>
    </x:row>
    <x:row r="5">
      <x:c r="A5" s="15" t="n">
        <x:v>1</x:v>
      </x:c>
      <x:c r="B5" s="15" t="str">
        <x:v>Levine</x:v>
      </x:c>
      <x:c r="C5" s="15" t="str">
        <x:v>DBSCAN</x:v>
      </x:c>
      <x:c r="D5" s="30" t="str">
        <x:v>ok</x:v>
      </x:c>
      <x:c r="E5" s="15" t="str">
        <x:v>cytometry__levine__DBSCAN__42__1b620d8e1e9f</x:v>
      </x:c>
      <x:c r="F5" s="19" t="n">
        <x:v>46250.73484826389</x:v>
      </x:c>
    </x:row>
    <x:row r="6">
      <x:c r="A6" s="20" t="n">
        <x:v>2</x:v>
      </x:c>
      <x:c r="B6" s="20" t="str">
        <x:v>Levine</x:v>
      </x:c>
      <x:c r="C6" s="20" t="str">
        <x:v>HDBSCAN</x:v>
      </x:c>
      <x:c r="D6" s="32" t="str">
        <x:v>timeout</x:v>
      </x:c>
      <x:c r="E6" s="20" t="str">
        <x:v>cytometry__levine__HDBSCAN__42__af5ec1001eac</x:v>
      </x:c>
      <x:c r="F6" s="24" t="n">
        <x:v>46250.75568248842</x:v>
      </x:c>
    </x:row>
    <x:row r="7">
      <x:c r="A7" s="20" t="n">
        <x:v>3</x:v>
      </x:c>
      <x:c r="B7" s="20" t="str">
        <x:v>Levine</x:v>
      </x:c>
      <x:c r="C7" s="20" t="str">
        <x:v>OPTICS</x:v>
      </x:c>
      <x:c r="D7" s="34" t="str">
        <x:v>ok</x:v>
      </x:c>
      <x:c r="E7" s="20" t="str">
        <x:v>cytometry__levine__OPTICS__42__8bd2fa82d081</x:v>
      </x:c>
      <x:c r="F7" s="24" t="n">
        <x:v>46250.76821239584</x:v>
      </x:c>
    </x:row>
    <x:row r="8">
      <x:c r="A8" s="20" t="n">
        <x:v>4</x:v>
      </x:c>
      <x:c r="B8" s="20" t="str">
        <x:v>Levine</x:v>
      </x:c>
      <x:c r="C8" s="20" t="str">
        <x:v>SNN-DBSCAN</x:v>
      </x:c>
      <x:c r="D8" s="34" t="str">
        <x:v>ok</x:v>
      </x:c>
      <x:c r="E8" s="20" t="str">
        <x:v>cytometry__levine__SNN-DBSCAN__42__2feca8188f52</x:v>
      </x:c>
      <x:c r="F8" s="24" t="n">
        <x:v>46250.768573726855</x:v>
      </x:c>
    </x:row>
    <x:row r="9">
      <x:c r="A9" s="20" t="n">
        <x:v>5</x:v>
      </x:c>
      <x:c r="B9" s="20" t="str">
        <x:v>Levine</x:v>
      </x:c>
      <x:c r="C9" s="20" t="str">
        <x:v>VDBSCAN-2007</x:v>
      </x:c>
      <x:c r="D9" s="34" t="str">
        <x:v>ok</x:v>
      </x:c>
      <x:c r="E9" s="20" t="str">
        <x:v>cytometry__levine__VDBSCAN-2007__42__da0f45a21224</x:v>
      </x:c>
      <x:c r="F9" s="24" t="n">
        <x:v>46250.77629410879</x:v>
      </x:c>
    </x:row>
    <x:row r="10">
      <x:c r="A10" s="20" t="n">
        <x:v>6</x:v>
      </x:c>
      <x:c r="B10" s="20" t="str">
        <x:v>Levine</x:v>
      </x:c>
      <x:c r="C10" s="20" t="str">
        <x:v>AMD-DBSCAN</x:v>
      </x:c>
      <x:c r="D10" s="35" t="str">
        <x:v>error</x:v>
      </x:c>
      <x:c r="E10" s="20" t="str">
        <x:v>cytometry__levine__AMD-DBSCAN__42__f607f8322bd3</x:v>
      </x:c>
      <x:c r="F10" s="24" t="n">
        <x:v>46250.77637206019</x:v>
      </x:c>
    </x:row>
    <x:row r="11">
      <x:c r="A11" s="20" t="n">
        <x:v>7</x:v>
      </x:c>
      <x:c r="B11" s="20" t="str">
        <x:v>Levine</x:v>
      </x:c>
      <x:c r="C11" s="20" t="str">
        <x:v>kNN-DBSCAN</x:v>
      </x:c>
      <x:c r="D11" s="34" t="str">
        <x:v>ok</x:v>
      </x:c>
      <x:c r="E11" s="20" t="str">
        <x:v>cytometry__levine__kNN-DBSCAN__42__93c56fa33c2d</x:v>
      </x:c>
      <x:c r="F11" s="24" t="n">
        <x:v>46250.77670050926</x:v>
      </x:c>
    </x:row>
    <x:row r="12">
      <x:c r="A12" s="20" t="n">
        <x:v>8</x:v>
      </x:c>
      <x:c r="B12" s="20" t="str">
        <x:v>Levine</x:v>
      </x:c>
      <x:c r="C12" s="20" t="str">
        <x:v>kNN+Leiden</x:v>
      </x:c>
      <x:c r="D12" s="32" t="str">
        <x:v>timeout</x:v>
      </x:c>
      <x:c r="E12" s="20" t="str">
        <x:v>cytometry__levine__kNN+Leiden__42__20db2966ce2f</x:v>
      </x:c>
      <x:c r="F12" s="24" t="n">
        <x:v>46250.79754186342</x:v>
      </x:c>
    </x:row>
    <x:row r="13">
      <x:c r="A13" s="20" t="n">
        <x:v>9</x:v>
      </x:c>
      <x:c r="B13" s="20" t="str">
        <x:v>Levine</x:v>
      </x:c>
      <x:c r="C13" s="20" t="str">
        <x:v>StrataSCAN</x:v>
      </x:c>
      <x:c r="D13" s="34" t="str">
        <x:v>ok</x:v>
      </x:c>
      <x:c r="E13" s="20" t="str">
        <x:v>cytometry__levine__StrataSCAN__42__6d70f365c79e</x:v>
      </x:c>
      <x:c r="F13" s="24" t="n">
        <x:v>46250.79881731481</x:v>
      </x:c>
    </x:row>
    <x:row r="14">
      <x:c r="A14" s="20" t="n">
        <x:v>10</x:v>
      </x:c>
      <x:c r="B14" s="20" t="str">
        <x:v>Mosmann</x:v>
      </x:c>
      <x:c r="C14" s="20" t="str">
        <x:v>DBSCAN</x:v>
      </x:c>
      <x:c r="D14" s="34" t="str">
        <x:v>ok</x:v>
      </x:c>
      <x:c r="E14" s="20" t="str">
        <x:v>cytometry__mosmann__DBSCAN__42__0df1e78247f9</x:v>
      </x:c>
      <x:c r="F14" s="24" t="n">
        <x:v>46250.8003652662</x:v>
      </x:c>
    </x:row>
    <x:row r="15">
      <x:c r="A15" s="20" t="n">
        <x:v>11</x:v>
      </x:c>
      <x:c r="B15" s="20" t="str">
        <x:v>Mosmann</x:v>
      </x:c>
      <x:c r="C15" s="20" t="str">
        <x:v>HDBSCAN</x:v>
      </x:c>
      <x:c r="D15" s="32" t="str">
        <x:v>timeout</x:v>
      </x:c>
      <x:c r="E15" s="20" t="str">
        <x:v>cytometry__mosmann__HDBSCAN__42__f11b0e5546d6</x:v>
      </x:c>
      <x:c r="F15" s="24" t="n">
        <x:v>46250.82120049769</x:v>
      </x:c>
    </x:row>
    <x:row r="16">
      <x:c r="A16" s="20" t="n">
        <x:v>12</x:v>
      </x:c>
      <x:c r="B16" s="20" t="str">
        <x:v>Mosmann</x:v>
      </x:c>
      <x:c r="C16" s="20" t="str">
        <x:v>OPTICS</x:v>
      </x:c>
      <x:c r="D16" s="34" t="str">
        <x:v>ok</x:v>
      </x:c>
      <x:c r="E16" s="20" t="str">
        <x:v>cytometry__mosmann__OPTICS__42__1b443ea3eb91</x:v>
      </x:c>
      <x:c r="F16" s="24" t="n">
        <x:v>46250.831967349535</x:v>
      </x:c>
    </x:row>
    <x:row r="17">
      <x:c r="A17" s="20" t="n">
        <x:v>13</x:v>
      </x:c>
      <x:c r="B17" s="20" t="str">
        <x:v>Mosmann</x:v>
      </x:c>
      <x:c r="C17" s="20" t="str">
        <x:v>SNN-DBSCAN</x:v>
      </x:c>
      <x:c r="D17" s="34" t="str">
        <x:v>ok</x:v>
      </x:c>
      <x:c r="E17" s="20" t="str">
        <x:v>cytometry__mosmann__SNN-DBSCAN__42__9beaadc0c022</x:v>
      </x:c>
      <x:c r="F17" s="24" t="n">
        <x:v>46250.832415902776</x:v>
      </x:c>
    </x:row>
    <x:row r="18">
      <x:c r="A18" s="20" t="n">
        <x:v>14</x:v>
      </x:c>
      <x:c r="B18" s="20" t="str">
        <x:v>Mosmann</x:v>
      </x:c>
      <x:c r="C18" s="20" t="str">
        <x:v>VDBSCAN-2007</x:v>
      </x:c>
      <x:c r="D18" s="34" t="str">
        <x:v>ok</x:v>
      </x:c>
      <x:c r="E18" s="20" t="str">
        <x:v>cytometry__mosmann__VDBSCAN-2007__42__19aeede4a30a</x:v>
      </x:c>
      <x:c r="F18" s="24" t="n">
        <x:v>46250.83661445602</x:v>
      </x:c>
    </x:row>
    <x:row r="19">
      <x:c r="A19" s="20" t="n">
        <x:v>15</x:v>
      </x:c>
      <x:c r="B19" s="20" t="str">
        <x:v>Mosmann</x:v>
      </x:c>
      <x:c r="C19" s="20" t="str">
        <x:v>AMD-DBSCAN</x:v>
      </x:c>
      <x:c r="D19" s="35" t="str">
        <x:v>error</x:v>
      </x:c>
      <x:c r="E19" s="20" t="str">
        <x:v>cytometry__mosmann__AMD-DBSCAN__42__22b28dc4d484</x:v>
      </x:c>
      <x:c r="F19" s="24" t="n">
        <x:v>46250.83667547454</x:v>
      </x:c>
    </x:row>
    <x:row r="20">
      <x:c r="A20" s="20" t="n">
        <x:v>16</x:v>
      </x:c>
      <x:c r="B20" s="20" t="str">
        <x:v>Mosmann</x:v>
      </x:c>
      <x:c r="C20" s="20" t="str">
        <x:v>kNN-DBSCAN</x:v>
      </x:c>
      <x:c r="D20" s="34" t="str">
        <x:v>ok</x:v>
      </x:c>
      <x:c r="E20" s="20" t="str">
        <x:v>cytometry__mosmann__kNN-DBSCAN__42__5bfe751fce9b</x:v>
      </x:c>
      <x:c r="F20" s="24" t="n">
        <x:v>46250.83707903935</x:v>
      </x:c>
    </x:row>
    <x:row r="21">
      <x:c r="A21" s="20" t="n">
        <x:v>17</x:v>
      </x:c>
      <x:c r="B21" s="20" t="str">
        <x:v>Mosmann</x:v>
      </x:c>
      <x:c r="C21" s="20" t="str">
        <x:v>kNN+Leiden</x:v>
      </x:c>
      <x:c r="D21" s="32" t="str">
        <x:v>timeout</x:v>
      </x:c>
      <x:c r="E21" s="20" t="str">
        <x:v>cytometry__mosmann__kNN+Leiden__42__7a9b4edcb799</x:v>
      </x:c>
      <x:c r="F21" s="24" t="n">
        <x:v>46250.8579177662</x:v>
      </x:c>
    </x:row>
    <x:row r="22">
      <x:c r="A22" s="20" t="n">
        <x:v>18</x:v>
      </x:c>
      <x:c r="B22" s="20" t="str">
        <x:v>Mosmann</x:v>
      </x:c>
      <x:c r="C22" s="20" t="str">
        <x:v>StrataSCAN</x:v>
      </x:c>
      <x:c r="D22" s="34" t="str">
        <x:v>ok</x:v>
      </x:c>
      <x:c r="E22" s="20" t="str">
        <x:v>cytometry__mosmann__StrataSCAN__42__8f39669324bc</x:v>
      </x:c>
      <x:c r="F22" s="24" t="n">
        <x:v>46250.863737685184</x:v>
      </x:c>
    </x:row>
    <x:row r="23">
      <x:c r="A23" s="20" t="n">
        <x:v>19</x:v>
      </x:c>
      <x:c r="B23" s="20" t="str">
        <x:v>Nilsson</x:v>
      </x:c>
      <x:c r="C23" s="20" t="str">
        <x:v>DBSCAN</x:v>
      </x:c>
      <x:c r="D23" s="34" t="str">
        <x:v>ok</x:v>
      </x:c>
      <x:c r="E23" s="20" t="str">
        <x:v>cytometry__nilsson__DBSCAN__42__54f9af2f7c87</x:v>
      </x:c>
      <x:c r="F23" s="24" t="n">
        <x:v>46250.8649924537</x:v>
      </x:c>
    </x:row>
    <x:row r="24">
      <x:c r="A24" s="20" t="n">
        <x:v>20</x:v>
      </x:c>
      <x:c r="B24" s="20" t="str">
        <x:v>Nilsson</x:v>
      </x:c>
      <x:c r="C24" s="20" t="str">
        <x:v>HDBSCAN</x:v>
      </x:c>
      <x:c r="D24" s="34" t="str">
        <x:v>ok</x:v>
      </x:c>
      <x:c r="E24" s="20" t="str">
        <x:v>cytometry__nilsson__HDBSCAN__42__f884ed111827</x:v>
      </x:c>
      <x:c r="F24" s="24" t="n">
        <x:v>46250.866550266204</x:v>
      </x:c>
    </x:row>
    <x:row r="25">
      <x:c r="A25" s="20" t="n">
        <x:v>21</x:v>
      </x:c>
      <x:c r="B25" s="20" t="str">
        <x:v>Nilsson</x:v>
      </x:c>
      <x:c r="C25" s="20" t="str">
        <x:v>OPTICS</x:v>
      </x:c>
      <x:c r="D25" s="34" t="str">
        <x:v>ok</x:v>
      </x:c>
      <x:c r="E25" s="20" t="str">
        <x:v>cytometry__nilsson__OPTICS__42__c890bb1415e4</x:v>
      </x:c>
      <x:c r="F25" s="24" t="n">
        <x:v>46250.868144328706</x:v>
      </x:c>
    </x:row>
    <x:row r="26">
      <x:c r="A26" s="20" t="n">
        <x:v>22</x:v>
      </x:c>
      <x:c r="B26" s="20" t="str">
        <x:v>Nilsson</x:v>
      </x:c>
      <x:c r="C26" s="20" t="str">
        <x:v>SNN-DBSCAN</x:v>
      </x:c>
      <x:c r="D26" s="34" t="str">
        <x:v>ok</x:v>
      </x:c>
      <x:c r="E26" s="20" t="str">
        <x:v>cytometry__nilsson__SNN-DBSCAN__42__11252d6b5568</x:v>
      </x:c>
      <x:c r="F26" s="24" t="n">
        <x:v>46250.86860434028</x:v>
      </x:c>
    </x:row>
    <x:row r="27">
      <x:c r="A27" s="20" t="n">
        <x:v>23</x:v>
      </x:c>
      <x:c r="B27" s="20" t="str">
        <x:v>Nilsson</x:v>
      </x:c>
      <x:c r="C27" s="20" t="str">
        <x:v>VDBSCAN-2007</x:v>
      </x:c>
      <x:c r="D27" s="34" t="str">
        <x:v>ok</x:v>
      </x:c>
      <x:c r="E27" s="20" t="str">
        <x:v>cytometry__nilsson__VDBSCAN-2007__42__36409ff32243</x:v>
      </x:c>
      <x:c r="F27" s="24" t="n">
        <x:v>46250.87001086806</x:v>
      </x:c>
    </x:row>
    <x:row r="28">
      <x:c r="A28" s="20" t="n">
        <x:v>24</x:v>
      </x:c>
      <x:c r="B28" s="20" t="str">
        <x:v>Nilsson</x:v>
      </x:c>
      <x:c r="C28" s="20" t="str">
        <x:v>AMD-DBSCAN</x:v>
      </x:c>
      <x:c r="D28" s="35" t="str">
        <x:v>error</x:v>
      </x:c>
      <x:c r="E28" s="20" t="str">
        <x:v>cytometry__nilsson__AMD-DBSCAN__42__52ce754b5638</x:v>
      </x:c>
      <x:c r="F28" s="24" t="n">
        <x:v>46250.87257028935</x:v>
      </x:c>
    </x:row>
    <x:row r="29">
      <x:c r="A29" s="20" t="n">
        <x:v>25</x:v>
      </x:c>
      <x:c r="B29" s="20" t="str">
        <x:v>Nilsson</x:v>
      </x:c>
      <x:c r="C29" s="20" t="str">
        <x:v>kNN-DBSCAN</x:v>
      </x:c>
      <x:c r="D29" s="34" t="str">
        <x:v>ok</x:v>
      </x:c>
      <x:c r="E29" s="20" t="str">
        <x:v>cytometry__nilsson__kNN-DBSCAN__42__320e79b5b0db</x:v>
      </x:c>
      <x:c r="F29" s="24" t="n">
        <x:v>46250.87300774306</x:v>
      </x:c>
    </x:row>
    <x:row r="30">
      <x:c r="A30" s="20" t="n">
        <x:v>26</x:v>
      </x:c>
      <x:c r="B30" s="20" t="str">
        <x:v>Nilsson</x:v>
      </x:c>
      <x:c r="C30" s="20" t="str">
        <x:v>kNN+Leiden</x:v>
      </x:c>
      <x:c r="D30" s="34" t="str">
        <x:v>ok</x:v>
      </x:c>
      <x:c r="E30" s="20" t="str">
        <x:v>cytometry__nilsson__kNN+Leiden__42__d0379597881c</x:v>
      </x:c>
      <x:c r="F30" s="24" t="n">
        <x:v>46250.87365136574</x:v>
      </x:c>
    </x:row>
    <x:row r="31">
      <x:c r="A31" s="20" t="n">
        <x:v>27</x:v>
      </x:c>
      <x:c r="B31" s="20" t="str">
        <x:v>Nilsson</x:v>
      </x:c>
      <x:c r="C31" s="20" t="str">
        <x:v>StrataSCAN</x:v>
      </x:c>
      <x:c r="D31" s="34" t="str">
        <x:v>ok</x:v>
      </x:c>
      <x:c r="E31" s="20" t="str">
        <x:v>cytometry__nilsson__StrataSCAN__42__14c640fad6b9</x:v>
      </x:c>
      <x:c r="F31" s="24" t="n">
        <x:v>46250.87439787037</x:v>
      </x:c>
    </x:row>
    <x:row r="32">
      <x:c r="A32" s="20" t="n">
        <x:v>28</x:v>
      </x:c>
      <x:c r="B32" s="20" t="str">
        <x:v>Samusik 01</x:v>
      </x:c>
      <x:c r="C32" s="20" t="str">
        <x:v>DBSCAN</x:v>
      </x:c>
      <x:c r="D32" s="34" t="str">
        <x:v>ok</x:v>
      </x:c>
      <x:c r="E32" s="20" t="str">
        <x:v>cytometry__samusik_01__DBSCAN__42__e5126b5322ce</x:v>
      </x:c>
      <x:c r="F32" s="24" t="n">
        <x:v>46250.87640836806</x:v>
      </x:c>
    </x:row>
    <x:row r="33">
      <x:c r="A33" s="20" t="n">
        <x:v>29</x:v>
      </x:c>
      <x:c r="B33" s="20" t="str">
        <x:v>Samusik 01</x:v>
      </x:c>
      <x:c r="C33" s="20" t="str">
        <x:v>HDBSCAN</x:v>
      </x:c>
      <x:c r="D33" s="34" t="str">
        <x:v>ok</x:v>
      </x:c>
      <x:c r="E33" s="20" t="str">
        <x:v>cytometry__samusik_01__HDBSCAN__42__26c58bb2326c</x:v>
      </x:c>
      <x:c r="F33" s="24" t="n">
        <x:v>46250.89267158565</x:v>
      </x:c>
    </x:row>
    <x:row r="34">
      <x:c r="A34" s="20" t="n">
        <x:v>30</x:v>
      </x:c>
      <x:c r="B34" s="20" t="str">
        <x:v>Samusik 01</x:v>
      </x:c>
      <x:c r="C34" s="20" t="str">
        <x:v>OPTICS</x:v>
      </x:c>
      <x:c r="D34" s="34" t="str">
        <x:v>ok</x:v>
      </x:c>
      <x:c r="E34" s="20" t="str">
        <x:v>cytometry__samusik_01__OPTICS__42__c657181b3e34</x:v>
      </x:c>
      <x:c r="F34" s="24" t="n">
        <x:v>46250.896138564814</x:v>
      </x:c>
    </x:row>
    <x:row r="35">
      <x:c r="A35" s="20" t="n">
        <x:v>31</x:v>
      </x:c>
      <x:c r="B35" s="20" t="str">
        <x:v>Samusik 01</x:v>
      </x:c>
      <x:c r="C35" s="20" t="str">
        <x:v>SNN-DBSCAN</x:v>
      </x:c>
      <x:c r="D35" s="34" t="str">
        <x:v>ok</x:v>
      </x:c>
      <x:c r="E35" s="20" t="str">
        <x:v>cytometry__samusik_01__SNN-DBSCAN__42__354776f28f30</x:v>
      </x:c>
      <x:c r="F35" s="24" t="n">
        <x:v>46250.896702349535</x:v>
      </x:c>
    </x:row>
    <x:row r="36">
      <x:c r="A36" s="20" t="n">
        <x:v>32</x:v>
      </x:c>
      <x:c r="B36" s="20" t="str">
        <x:v>Samusik 01</x:v>
      </x:c>
      <x:c r="C36" s="20" t="str">
        <x:v>VDBSCAN-2007</x:v>
      </x:c>
      <x:c r="D36" s="36" t="str">
        <x:v>memory_limit</x:v>
      </x:c>
      <x:c r="E36" s="20" t="str">
        <x:v>cytometry__samusik_01__VDBSCAN-2007__42__8ec67efeb42b</x:v>
      </x:c>
      <x:c r="F36" s="24" t="n">
        <x:v>46250.89771898148</x:v>
      </x:c>
    </x:row>
    <x:row r="37">
      <x:c r="A37" s="20" t="n">
        <x:v>33</x:v>
      </x:c>
      <x:c r="B37" s="20" t="str">
        <x:v>Samusik 01</x:v>
      </x:c>
      <x:c r="C37" s="20" t="str">
        <x:v>AMD-DBSCAN</x:v>
      </x:c>
      <x:c r="D37" s="35" t="str">
        <x:v>error</x:v>
      </x:c>
      <x:c r="E37" s="20" t="str">
        <x:v>cytometry__samusik_01__AMD-DBSCAN__42__4207b21aea09</x:v>
      </x:c>
      <x:c r="F37" s="24" t="n">
        <x:v>46250.89778053241</x:v>
      </x:c>
    </x:row>
    <x:row r="38">
      <x:c r="A38" s="20" t="n">
        <x:v>34</x:v>
      </x:c>
      <x:c r="B38" s="20" t="str">
        <x:v>Samusik 01</x:v>
      </x:c>
      <x:c r="C38" s="20" t="str">
        <x:v>kNN-DBSCAN</x:v>
      </x:c>
      <x:c r="D38" s="34" t="str">
        <x:v>ok</x:v>
      </x:c>
      <x:c r="E38" s="20" t="str">
        <x:v>cytometry__samusik_01__kNN-DBSCAN__42__0bf56acdb5cf</x:v>
      </x:c>
      <x:c r="F38" s="24" t="n">
        <x:v>46250.89792376157</x:v>
      </x:c>
    </x:row>
    <x:row r="39">
      <x:c r="A39" s="20" t="n">
        <x:v>35</x:v>
      </x:c>
      <x:c r="B39" s="20" t="str">
        <x:v>Samusik 01</x:v>
      </x:c>
      <x:c r="C39" s="20" t="str">
        <x:v>kNN+Leiden</x:v>
      </x:c>
      <x:c r="D39" s="34" t="str">
        <x:v>ok</x:v>
      </x:c>
      <x:c r="E39" s="20" t="str">
        <x:v>cytometry__samusik_01__kNN+Leiden__42__1e8982d2e877</x:v>
      </x:c>
      <x:c r="F39" s="24" t="n">
        <x:v>46250.8986065162</x:v>
      </x:c>
    </x:row>
    <x:row r="40">
      <x:c r="A40" s="20" t="n">
        <x:v>36</x:v>
      </x:c>
      <x:c r="B40" s="20" t="str">
        <x:v>Samusik 01</x:v>
      </x:c>
      <x:c r="C40" s="20" t="str">
        <x:v>StrataSCAN</x:v>
      </x:c>
      <x:c r="D40" s="34" t="str">
        <x:v>ok</x:v>
      </x:c>
      <x:c r="E40" s="20" t="str">
        <x:v>cytometry__samusik_01__StrataSCAN__42__3d78253e997f</x:v>
      </x:c>
      <x:c r="F40" s="24" t="n">
        <x:v>46250.89882768519</x:v>
      </x:c>
    </x:row>
    <x:row r="41">
      <x:c r="A41" s="20" t="n">
        <x:v>37</x:v>
      </x:c>
      <x:c r="B41" s="20" t="str">
        <x:v>Samusik 02</x:v>
      </x:c>
      <x:c r="C41" s="20" t="str">
        <x:v>DBSCAN</x:v>
      </x:c>
      <x:c r="D41" s="34" t="str">
        <x:v>ok</x:v>
      </x:c>
      <x:c r="E41" s="20" t="str">
        <x:v>cytometry__samusik_02__DBSCAN__42__36896527a34f</x:v>
      </x:c>
      <x:c r="F41" s="24" t="n">
        <x:v>46250.89933453704</x:v>
      </x:c>
    </x:row>
    <x:row r="42">
      <x:c r="A42" s="20" t="n">
        <x:v>38</x:v>
      </x:c>
      <x:c r="B42" s="20" t="str">
        <x:v>Samusik 02</x:v>
      </x:c>
      <x:c r="C42" s="20" t="str">
        <x:v>HDBSCAN</x:v>
      </x:c>
      <x:c r="D42" s="34" t="str">
        <x:v>ok</x:v>
      </x:c>
      <x:c r="E42" s="20" t="str">
        <x:v>cytometry__samusik_02__HDBSCAN__42__bd84c8736f64</x:v>
      </x:c>
      <x:c r="F42" s="24" t="n">
        <x:v>46250.910874594905</x:v>
      </x:c>
    </x:row>
    <x:row r="43">
      <x:c r="A43" s="20" t="n">
        <x:v>39</x:v>
      </x:c>
      <x:c r="B43" s="20" t="str">
        <x:v>Samusik 02</x:v>
      </x:c>
      <x:c r="C43" s="20" t="str">
        <x:v>OPTICS</x:v>
      </x:c>
      <x:c r="D43" s="34" t="str">
        <x:v>ok</x:v>
      </x:c>
      <x:c r="E43" s="20" t="str">
        <x:v>cytometry__samusik_02__OPTICS__42__4f4f31548d43</x:v>
      </x:c>
      <x:c r="F43" s="24" t="n">
        <x:v>46250.91236944444</x:v>
      </x:c>
    </x:row>
    <x:row r="44">
      <x:c r="A44" s="20" t="n">
        <x:v>40</x:v>
      </x:c>
      <x:c r="B44" s="20" t="str">
        <x:v>Samusik 02</x:v>
      </x:c>
      <x:c r="C44" s="20" t="str">
        <x:v>SNN-DBSCAN</x:v>
      </x:c>
      <x:c r="D44" s="34" t="str">
        <x:v>ok</x:v>
      </x:c>
      <x:c r="E44" s="20" t="str">
        <x:v>cytometry__samusik_02__SNN-DBSCAN__42__9ecf4eb78bf5</x:v>
      </x:c>
      <x:c r="F44" s="24" t="n">
        <x:v>46250.91252283565</x:v>
      </x:c>
    </x:row>
    <x:row r="45">
      <x:c r="A45" s="20" t="n">
        <x:v>41</x:v>
      </x:c>
      <x:c r="B45" s="20" t="str">
        <x:v>Samusik 02</x:v>
      </x:c>
      <x:c r="C45" s="20" t="str">
        <x:v>VDBSCAN-2007</x:v>
      </x:c>
      <x:c r="D45" s="34" t="str">
        <x:v>ok</x:v>
      </x:c>
      <x:c r="E45" s="20" t="str">
        <x:v>cytometry__samusik_02__VDBSCAN-2007__42__3c6ff3e39eb0</x:v>
      </x:c>
      <x:c r="F45" s="24" t="n">
        <x:v>46250.914507800924</x:v>
      </x:c>
    </x:row>
    <x:row r="46">
      <x:c r="A46" s="20" t="n">
        <x:v>42</x:v>
      </x:c>
      <x:c r="B46" s="20" t="str">
        <x:v>Samusik 02</x:v>
      </x:c>
      <x:c r="C46" s="20" t="str">
        <x:v>AMD-DBSCAN</x:v>
      </x:c>
      <x:c r="D46" s="35" t="str">
        <x:v>error</x:v>
      </x:c>
      <x:c r="E46" s="20" t="str">
        <x:v>cytometry__samusik_02__AMD-DBSCAN__42__08e322101e55</x:v>
      </x:c>
      <x:c r="F46" s="24" t="n">
        <x:v>46250.91474392361</x:v>
      </x:c>
    </x:row>
    <x:row r="47">
      <x:c r="A47" s="20" t="n">
        <x:v>43</x:v>
      </x:c>
      <x:c r="B47" s="20" t="str">
        <x:v>Samusik 02</x:v>
      </x:c>
      <x:c r="C47" s="20" t="str">
        <x:v>kNN-DBSCAN</x:v>
      </x:c>
      <x:c r="D47" s="34" t="str">
        <x:v>ok</x:v>
      </x:c>
      <x:c r="E47" s="20" t="str">
        <x:v>cytometry__samusik_02__kNN-DBSCAN__42__185dd4167472</x:v>
      </x:c>
      <x:c r="F47" s="24" t="n">
        <x:v>46250.91535517361</x:v>
      </x:c>
    </x:row>
    <x:row r="48">
      <x:c r="A48" s="20" t="n">
        <x:v>44</x:v>
      </x:c>
      <x:c r="B48" s="20" t="str">
        <x:v>Samusik 02</x:v>
      </x:c>
      <x:c r="C48" s="20" t="str">
        <x:v>kNN+Leiden</x:v>
      </x:c>
      <x:c r="D48" s="34" t="str">
        <x:v>ok</x:v>
      </x:c>
      <x:c r="E48" s="20" t="str">
        <x:v>cytometry__samusik_02__kNN+Leiden__42__342913f64fba</x:v>
      </x:c>
      <x:c r="F48" s="24" t="n">
        <x:v>46250.91771383102</x:v>
      </x:c>
    </x:row>
    <x:row r="49">
      <x:c r="A49" s="20" t="n">
        <x:v>45</x:v>
      </x:c>
      <x:c r="B49" s="20" t="str">
        <x:v>Samusik 02</x:v>
      </x:c>
      <x:c r="C49" s="20" t="str">
        <x:v>StrataSCAN</x:v>
      </x:c>
      <x:c r="D49" s="34" t="str">
        <x:v>ok</x:v>
      </x:c>
      <x:c r="E49" s="20" t="str">
        <x:v>cytometry__samusik_02__StrataSCAN__42__fc3d695aac94</x:v>
      </x:c>
      <x:c r="F49" s="24" t="n">
        <x:v>46250.91857368055</x:v>
      </x:c>
    </x:row>
    <x:row r="50">
      <x:c r="A50" s="20" t="n">
        <x:v>46</x:v>
      </x:c>
      <x:c r="B50" s="20" t="str">
        <x:v>Samusik 03</x:v>
      </x:c>
      <x:c r="C50" s="20" t="str">
        <x:v>DBSCAN</x:v>
      </x:c>
      <x:c r="D50" s="34" t="str">
        <x:v>ok</x:v>
      </x:c>
      <x:c r="E50" s="20" t="str">
        <x:v>cytometry__samusik_03__DBSCAN__42__dd92e195b8e9</x:v>
      </x:c>
      <x:c r="F50" s="24" t="n">
        <x:v>46250.9205806713</x:v>
      </x:c>
    </x:row>
    <x:row r="51">
      <x:c r="A51" s="20" t="n">
        <x:v>47</x:v>
      </x:c>
      <x:c r="B51" s="20" t="str">
        <x:v>Samusik 03</x:v>
      </x:c>
      <x:c r="C51" s="20" t="str">
        <x:v>HDBSCAN</x:v>
      </x:c>
      <x:c r="D51" s="34" t="str">
        <x:v>ok</x:v>
      </x:c>
      <x:c r="E51" s="20" t="str">
        <x:v>cytometry__samusik_03__HDBSCAN__42__3e888fe694d8</x:v>
      </x:c>
      <x:c r="F51" s="24" t="n">
        <x:v>46250.93886174769</x:v>
      </x:c>
    </x:row>
    <x:row r="52">
      <x:c r="A52" s="20" t="n">
        <x:v>48</x:v>
      </x:c>
      <x:c r="B52" s="20" t="str">
        <x:v>Samusik 03</x:v>
      </x:c>
      <x:c r="C52" s="20" t="str">
        <x:v>OPTICS</x:v>
      </x:c>
      <x:c r="D52" s="34" t="str">
        <x:v>ok</x:v>
      </x:c>
      <x:c r="E52" s="20" t="str">
        <x:v>cytometry__samusik_03__OPTICS__42__0abb4930781a</x:v>
      </x:c>
      <x:c r="F52" s="24" t="n">
        <x:v>46250.94208547454</x:v>
      </x:c>
    </x:row>
    <x:row r="53">
      <x:c r="A53" s="20" t="n">
        <x:v>49</x:v>
      </x:c>
      <x:c r="B53" s="20" t="str">
        <x:v>Samusik 03</x:v>
      </x:c>
      <x:c r="C53" s="20" t="str">
        <x:v>SNN-DBSCAN</x:v>
      </x:c>
      <x:c r="D53" s="34" t="str">
        <x:v>ok</x:v>
      </x:c>
      <x:c r="E53" s="20" t="str">
        <x:v>cytometry__samusik_03__SNN-DBSCAN__42__2bba52518470</x:v>
      </x:c>
      <x:c r="F53" s="24" t="n">
        <x:v>46250.94223275463</x:v>
      </x:c>
    </x:row>
    <x:row r="54">
      <x:c r="A54" s="20" t="n">
        <x:v>50</x:v>
      </x:c>
      <x:c r="B54" s="20" t="str">
        <x:v>Samusik 03</x:v>
      </x:c>
      <x:c r="C54" s="20" t="str">
        <x:v>VDBSCAN-2007</x:v>
      </x:c>
      <x:c r="D54" s="34" t="str">
        <x:v>ok</x:v>
      </x:c>
      <x:c r="E54" s="20" t="str">
        <x:v>cytometry__samusik_03__VDBSCAN-2007__42__a306596db105</x:v>
      </x:c>
      <x:c r="F54" s="24" t="n">
        <x:v>46250.943036145836</x:v>
      </x:c>
    </x:row>
    <x:row r="55">
      <x:c r="A55" s="20" t="n">
        <x:v>51</x:v>
      </x:c>
      <x:c r="B55" s="20" t="str">
        <x:v>Samusik 03</x:v>
      </x:c>
      <x:c r="C55" s="20" t="str">
        <x:v>AMD-DBSCAN</x:v>
      </x:c>
      <x:c r="D55" s="35" t="str">
        <x:v>error</x:v>
      </x:c>
      <x:c r="E55" s="20" t="str">
        <x:v>cytometry__samusik_03__AMD-DBSCAN__42__2e4cbb3e1f87</x:v>
      </x:c>
      <x:c r="F55" s="24" t="n">
        <x:v>46250.943085162035</x:v>
      </x:c>
    </x:row>
    <x:row r="56">
      <x:c r="A56" s="20" t="n">
        <x:v>52</x:v>
      </x:c>
      <x:c r="B56" s="20" t="str">
        <x:v>Samusik 03</x:v>
      </x:c>
      <x:c r="C56" s="20" t="str">
        <x:v>kNN-DBSCAN</x:v>
      </x:c>
      <x:c r="D56" s="34" t="str">
        <x:v>ok</x:v>
      </x:c>
      <x:c r="E56" s="20" t="str">
        <x:v>cytometry__samusik_03__kNN-DBSCAN__42__4c5d52643e09</x:v>
      </x:c>
      <x:c r="F56" s="24" t="n">
        <x:v>46250.94321844907</x:v>
      </x:c>
    </x:row>
    <x:row r="57">
      <x:c r="A57" s="20" t="n">
        <x:v>53</x:v>
      </x:c>
      <x:c r="B57" s="20" t="str">
        <x:v>Samusik 03</x:v>
      </x:c>
      <x:c r="C57" s="20" t="str">
        <x:v>kNN+Leiden</x:v>
      </x:c>
      <x:c r="D57" s="34" t="str">
        <x:v>ok</x:v>
      </x:c>
      <x:c r="E57" s="20" t="str">
        <x:v>cytometry__samusik_03__kNN+Leiden__42__8fa416ca2028</x:v>
      </x:c>
      <x:c r="F57" s="24" t="n">
        <x:v>46250.94354209491</x:v>
      </x:c>
    </x:row>
    <x:row r="58">
      <x:c r="A58" s="20" t="n">
        <x:v>54</x:v>
      </x:c>
      <x:c r="B58" s="20" t="str">
        <x:v>Samusik 03</x:v>
      </x:c>
      <x:c r="C58" s="20" t="str">
        <x:v>StrataSCAN</x:v>
      </x:c>
      <x:c r="D58" s="34" t="str">
        <x:v>ok</x:v>
      </x:c>
      <x:c r="E58" s="20" t="str">
        <x:v>cytometry__samusik_03__StrataSCAN__42__ec9ab8cea945</x:v>
      </x:c>
      <x:c r="F58" s="24" t="n">
        <x:v>46250.94373894676</x:v>
      </x:c>
    </x:row>
    <x:row r="59">
      <x:c r="A59" s="20" t="n">
        <x:v>55</x:v>
      </x:c>
      <x:c r="B59" s="20" t="str">
        <x:v>Samusik 04</x:v>
      </x:c>
      <x:c r="C59" s="20" t="str">
        <x:v>DBSCAN</x:v>
      </x:c>
      <x:c r="D59" s="34" t="str">
        <x:v>ok</x:v>
      </x:c>
      <x:c r="E59" s="20" t="str">
        <x:v>cytometry__samusik_04__DBSCAN__42__65b5c3c023fb</x:v>
      </x:c>
      <x:c r="F59" s="24" t="n">
        <x:v>46250.94417542824</x:v>
      </x:c>
    </x:row>
    <x:row r="60">
      <x:c r="A60" s="20" t="n">
        <x:v>56</x:v>
      </x:c>
      <x:c r="B60" s="20" t="str">
        <x:v>Samusik 04</x:v>
      </x:c>
      <x:c r="C60" s="20" t="str">
        <x:v>HDBSCAN</x:v>
      </x:c>
      <x:c r="D60" s="34" t="str">
        <x:v>ok</x:v>
      </x:c>
      <x:c r="E60" s="20" t="str">
        <x:v>cytometry__samusik_04__HDBSCAN__42__95ec19e74d56</x:v>
      </x:c>
      <x:c r="F60" s="24" t="n">
        <x:v>46250.953828958336</x:v>
      </x:c>
    </x:row>
    <x:row r="61">
      <x:c r="A61" s="20" t="n">
        <x:v>57</x:v>
      </x:c>
      <x:c r="B61" s="20" t="str">
        <x:v>Samusik 04</x:v>
      </x:c>
      <x:c r="C61" s="20" t="str">
        <x:v>OPTICS</x:v>
      </x:c>
      <x:c r="D61" s="34" t="str">
        <x:v>ok</x:v>
      </x:c>
      <x:c r="E61" s="20" t="str">
        <x:v>cytometry__samusik_04__OPTICS__42__6641c445aea8</x:v>
      </x:c>
      <x:c r="F61" s="24" t="n">
        <x:v>46250.955085208334</x:v>
      </x:c>
    </x:row>
    <x:row r="62">
      <x:c r="A62" s="20" t="n">
        <x:v>58</x:v>
      </x:c>
      <x:c r="B62" s="20" t="str">
        <x:v>Samusik 04</x:v>
      </x:c>
      <x:c r="C62" s="20" t="str">
        <x:v>SNN-DBSCAN</x:v>
      </x:c>
      <x:c r="D62" s="34" t="str">
        <x:v>ok</x:v>
      </x:c>
      <x:c r="E62" s="20" t="str">
        <x:v>cytometry__samusik_04__SNN-DBSCAN__42__f1120d9150e7</x:v>
      </x:c>
      <x:c r="F62" s="24" t="n">
        <x:v>46250.95522631944</x:v>
      </x:c>
    </x:row>
    <x:row r="63">
      <x:c r="A63" s="20" t="n">
        <x:v>59</x:v>
      </x:c>
      <x:c r="B63" s="20" t="str">
        <x:v>Samusik 04</x:v>
      </x:c>
      <x:c r="C63" s="20" t="str">
        <x:v>VDBSCAN-2007</x:v>
      </x:c>
      <x:c r="D63" s="34" t="str">
        <x:v>ok</x:v>
      </x:c>
      <x:c r="E63" s="20" t="str">
        <x:v>cytometry__samusik_04__VDBSCAN-2007__42__8f532e2525bf</x:v>
      </x:c>
      <x:c r="F63" s="24" t="n">
        <x:v>46250.95599440972</x:v>
      </x:c>
    </x:row>
    <x:row r="64">
      <x:c r="A64" s="20" t="n">
        <x:v>60</x:v>
      </x:c>
      <x:c r="B64" s="20" t="str">
        <x:v>Samusik 04</x:v>
      </x:c>
      <x:c r="C64" s="20" t="str">
        <x:v>AMD-DBSCAN</x:v>
      </x:c>
      <x:c r="D64" s="35" t="str">
        <x:v>error</x:v>
      </x:c>
      <x:c r="E64" s="20" t="str">
        <x:v>cytometry__samusik_04__AMD-DBSCAN__42__340a9cd89681</x:v>
      </x:c>
      <x:c r="F64" s="24" t="n">
        <x:v>46250.95604538194</x:v>
      </x:c>
    </x:row>
    <x:row r="65">
      <x:c r="A65" s="20" t="n">
        <x:v>61</x:v>
      </x:c>
      <x:c r="B65" s="20" t="str">
        <x:v>Samusik 04</x:v>
      </x:c>
      <x:c r="C65" s="20" t="str">
        <x:v>kNN-DBSCAN</x:v>
      </x:c>
      <x:c r="D65" s="34" t="str">
        <x:v>ok</x:v>
      </x:c>
      <x:c r="E65" s="20" t="str">
        <x:v>cytometry__samusik_04__kNN-DBSCAN__42__3b3a97fd6fe4</x:v>
      </x:c>
      <x:c r="F65" s="24" t="n">
        <x:v>46250.95617359954</x:v>
      </x:c>
    </x:row>
    <x:row r="66">
      <x:c r="A66" s="20" t="n">
        <x:v>62</x:v>
      </x:c>
      <x:c r="B66" s="20" t="str">
        <x:v>Samusik 04</x:v>
      </x:c>
      <x:c r="C66" s="20" t="str">
        <x:v>kNN+Leiden</x:v>
      </x:c>
      <x:c r="D66" s="34" t="str">
        <x:v>ok</x:v>
      </x:c>
      <x:c r="E66" s="20" t="str">
        <x:v>cytometry__samusik_04__kNN+Leiden__42__d11c12ea3fd4</x:v>
      </x:c>
      <x:c r="F66" s="24" t="n">
        <x:v>46250.956494039354</x:v>
      </x:c>
    </x:row>
    <x:row r="67">
      <x:c r="A67" s="20" t="n">
        <x:v>63</x:v>
      </x:c>
      <x:c r="B67" s="20" t="str">
        <x:v>Samusik 04</x:v>
      </x:c>
      <x:c r="C67" s="20" t="str">
        <x:v>StrataSCAN</x:v>
      </x:c>
      <x:c r="D67" s="34" t="str">
        <x:v>ok</x:v>
      </x:c>
      <x:c r="E67" s="20" t="str">
        <x:v>cytometry__samusik_04__StrataSCAN__42__791e95d9f824</x:v>
      </x:c>
      <x:c r="F67" s="24" t="n">
        <x:v>46250.95669384259</x:v>
      </x:c>
    </x:row>
    <x:row r="68">
      <x:c r="A68" s="20" t="n">
        <x:v>64</x:v>
      </x:c>
      <x:c r="B68" s="20" t="str">
        <x:v>Samusik 05</x:v>
      </x:c>
      <x:c r="C68" s="20" t="str">
        <x:v>DBSCAN</x:v>
      </x:c>
      <x:c r="D68" s="34" t="str">
        <x:v>ok</x:v>
      </x:c>
      <x:c r="E68" s="20" t="str">
        <x:v>cytometry__samusik_05__DBSCAN__42__10ffb58b7ccb</x:v>
      </x:c>
      <x:c r="F68" s="24" t="n">
        <x:v>46250.95716762731</x:v>
      </x:c>
    </x:row>
    <x:row r="69">
      <x:c r="A69" s="20" t="n">
        <x:v>65</x:v>
      </x:c>
      <x:c r="B69" s="20" t="str">
        <x:v>Samusik 05</x:v>
      </x:c>
      <x:c r="C69" s="20" t="str">
        <x:v>HDBSCAN</x:v>
      </x:c>
      <x:c r="D69" s="34" t="str">
        <x:v>ok</x:v>
      </x:c>
      <x:c r="E69" s="20" t="str">
        <x:v>cytometry__samusik_05__HDBSCAN__42__72e4e43ca668</x:v>
      </x:c>
      <x:c r="F69" s="24" t="n">
        <x:v>46250.96809890046</x:v>
      </x:c>
    </x:row>
    <x:row r="70">
      <x:c r="A70" s="20" t="n">
        <x:v>66</x:v>
      </x:c>
      <x:c r="B70" s="20" t="str">
        <x:v>Samusik 05</x:v>
      </x:c>
      <x:c r="C70" s="20" t="str">
        <x:v>OPTICS</x:v>
      </x:c>
      <x:c r="D70" s="34" t="str">
        <x:v>ok</x:v>
      </x:c>
      <x:c r="E70" s="20" t="str">
        <x:v>cytometry__samusik_05__OPTICS__42__9c2ed4f2b9fb</x:v>
      </x:c>
      <x:c r="F70" s="24" t="n">
        <x:v>46250.96948478009</x:v>
      </x:c>
    </x:row>
    <x:row r="71">
      <x:c r="A71" s="20" t="n">
        <x:v>67</x:v>
      </x:c>
      <x:c r="B71" s="20" t="str">
        <x:v>Samusik 05</x:v>
      </x:c>
      <x:c r="C71" s="20" t="str">
        <x:v>SNN-DBSCAN</x:v>
      </x:c>
      <x:c r="D71" s="34" t="str">
        <x:v>ok</x:v>
      </x:c>
      <x:c r="E71" s="20" t="str">
        <x:v>cytometry__samusik_05__SNN-DBSCAN__42__601b0b1665b2</x:v>
      </x:c>
      <x:c r="F71" s="24" t="n">
        <x:v>46250.96963702546</x:v>
      </x:c>
    </x:row>
    <x:row r="72">
      <x:c r="A72" s="20" t="n">
        <x:v>68</x:v>
      </x:c>
      <x:c r="B72" s="20" t="str">
        <x:v>Samusik 05</x:v>
      </x:c>
      <x:c r="C72" s="20" t="str">
        <x:v>VDBSCAN-2007</x:v>
      </x:c>
      <x:c r="D72" s="34" t="str">
        <x:v>ok</x:v>
      </x:c>
      <x:c r="E72" s="20" t="str">
        <x:v>cytometry__samusik_05__VDBSCAN-2007__42__238beee04a8d</x:v>
      </x:c>
      <x:c r="F72" s="24" t="n">
        <x:v>46250.970519305556</x:v>
      </x:c>
    </x:row>
    <x:row r="73">
      <x:c r="A73" s="20" t="n">
        <x:v>69</x:v>
      </x:c>
      <x:c r="B73" s="20" t="str">
        <x:v>Samusik 05</x:v>
      </x:c>
      <x:c r="C73" s="20" t="str">
        <x:v>AMD-DBSCAN</x:v>
      </x:c>
      <x:c r="D73" s="35" t="str">
        <x:v>error</x:v>
      </x:c>
      <x:c r="E73" s="20" t="str">
        <x:v>cytometry__samusik_05__AMD-DBSCAN__42__c6404df0a243</x:v>
      </x:c>
      <x:c r="F73" s="24" t="n">
        <x:v>46250.97057005787</x:v>
      </x:c>
    </x:row>
    <x:row r="74">
      <x:c r="A74" s="20" t="n">
        <x:v>70</x:v>
      </x:c>
      <x:c r="B74" s="20" t="str">
        <x:v>Samusik 05</x:v>
      </x:c>
      <x:c r="C74" s="20" t="str">
        <x:v>kNN-DBSCAN</x:v>
      </x:c>
      <x:c r="D74" s="34" t="str">
        <x:v>ok</x:v>
      </x:c>
      <x:c r="E74" s="20" t="str">
        <x:v>cytometry__samusik_05__kNN-DBSCAN__42__ac18db81d389</x:v>
      </x:c>
      <x:c r="F74" s="24" t="n">
        <x:v>46250.970706319444</x:v>
      </x:c>
    </x:row>
    <x:row r="75">
      <x:c r="A75" s="20" t="n">
        <x:v>71</x:v>
      </x:c>
      <x:c r="B75" s="20" t="str">
        <x:v>Samusik 05</x:v>
      </x:c>
      <x:c r="C75" s="20" t="str">
        <x:v>kNN+Leiden</x:v>
      </x:c>
      <x:c r="D75" s="34" t="str">
        <x:v>ok</x:v>
      </x:c>
      <x:c r="E75" s="20" t="str">
        <x:v>cytometry__samusik_05__kNN+Leiden__42__038d932a3fe7</x:v>
      </x:c>
      <x:c r="F75" s="24" t="n">
        <x:v>46250.97094261574</x:v>
      </x:c>
    </x:row>
    <x:row r="76">
      <x:c r="A76" s="20" t="n">
        <x:v>72</x:v>
      </x:c>
      <x:c r="B76" s="20" t="str">
        <x:v>Samusik 05</x:v>
      </x:c>
      <x:c r="C76" s="20" t="str">
        <x:v>StrataSCAN</x:v>
      </x:c>
      <x:c r="D76" s="34" t="str">
        <x:v>ok</x:v>
      </x:c>
      <x:c r="E76" s="20" t="str">
        <x:v>cytometry__samusik_05__StrataSCAN__42__839beeae6f7d</x:v>
      </x:c>
      <x:c r="F76" s="24" t="n">
        <x:v>46250.97115055555</x:v>
      </x:c>
    </x:row>
    <x:row r="77">
      <x:c r="A77" s="20" t="n">
        <x:v>73</x:v>
      </x:c>
      <x:c r="B77" s="20" t="str">
        <x:v>Samusik 06</x:v>
      </x:c>
      <x:c r="C77" s="20" t="str">
        <x:v>DBSCAN</x:v>
      </x:c>
      <x:c r="D77" s="34" t="str">
        <x:v>ok</x:v>
      </x:c>
      <x:c r="E77" s="20" t="str">
        <x:v>cytometry__samusik_06__DBSCAN__42__0d57077800ae</x:v>
      </x:c>
      <x:c r="F77" s="24" t="n">
        <x:v>46250.97155509259</x:v>
      </x:c>
    </x:row>
    <x:row r="78">
      <x:c r="A78" s="20" t="n">
        <x:v>74</x:v>
      </x:c>
      <x:c r="B78" s="20" t="str">
        <x:v>Samusik 06</x:v>
      </x:c>
      <x:c r="C78" s="20" t="str">
        <x:v>HDBSCAN</x:v>
      </x:c>
      <x:c r="D78" s="34" t="str">
        <x:v>ok</x:v>
      </x:c>
      <x:c r="E78" s="20" t="str">
        <x:v>cytometry__samusik_06__HDBSCAN__42__3f5c95b39274</x:v>
      </x:c>
      <x:c r="F78" s="24" t="n">
        <x:v>46250.98051541667</x:v>
      </x:c>
    </x:row>
    <x:row r="79">
      <x:c r="A79" s="20" t="n">
        <x:v>75</x:v>
      </x:c>
      <x:c r="B79" s="20" t="str">
        <x:v>Samusik 06</x:v>
      </x:c>
      <x:c r="C79" s="20" t="str">
        <x:v>OPTICS</x:v>
      </x:c>
      <x:c r="D79" s="34" t="str">
        <x:v>ok</x:v>
      </x:c>
      <x:c r="E79" s="20" t="str">
        <x:v>cytometry__samusik_06__OPTICS__42__2bc852f6699f</x:v>
      </x:c>
      <x:c r="F79" s="24" t="n">
        <x:v>46250.98168611111</x:v>
      </x:c>
    </x:row>
    <x:row r="80">
      <x:c r="A80" s="20" t="n">
        <x:v>76</x:v>
      </x:c>
      <x:c r="B80" s="20" t="str">
        <x:v>Samusik 06</x:v>
      </x:c>
      <x:c r="C80" s="20" t="str">
        <x:v>SNN-DBSCAN</x:v>
      </x:c>
      <x:c r="D80" s="34" t="str">
        <x:v>ok</x:v>
      </x:c>
      <x:c r="E80" s="20" t="str">
        <x:v>cytometry__samusik_06__SNN-DBSCAN__42__ab1ec6cfcb50</x:v>
      </x:c>
      <x:c r="F80" s="24" t="n">
        <x:v>46250.98182483796</x:v>
      </x:c>
    </x:row>
    <x:row r="81">
      <x:c r="A81" s="20" t="n">
        <x:v>77</x:v>
      </x:c>
      <x:c r="B81" s="20" t="str">
        <x:v>Samusik 06</x:v>
      </x:c>
      <x:c r="C81" s="20" t="str">
        <x:v>VDBSCAN-2007</x:v>
      </x:c>
      <x:c r="D81" s="34" t="str">
        <x:v>ok</x:v>
      </x:c>
      <x:c r="E81" s="20" t="str">
        <x:v>cytometry__samusik_06__VDBSCAN-2007__42__6b0726d3d130</x:v>
      </x:c>
      <x:c r="F81" s="24" t="n">
        <x:v>46250.982566782404</x:v>
      </x:c>
    </x:row>
    <x:row r="82">
      <x:c r="A82" s="20" t="n">
        <x:v>78</x:v>
      </x:c>
      <x:c r="B82" s="20" t="str">
        <x:v>Samusik 06</x:v>
      </x:c>
      <x:c r="C82" s="20" t="str">
        <x:v>AMD-DBSCAN</x:v>
      </x:c>
      <x:c r="D82" s="35" t="str">
        <x:v>error</x:v>
      </x:c>
      <x:c r="E82" s="20" t="str">
        <x:v>cytometry__samusik_06__AMD-DBSCAN__42__399403a978f1</x:v>
      </x:c>
      <x:c r="F82" s="24" t="n">
        <x:v>46250.98261650463</x:v>
      </x:c>
    </x:row>
    <x:row r="83">
      <x:c r="A83" s="20" t="n">
        <x:v>79</x:v>
      </x:c>
      <x:c r="B83" s="20" t="str">
        <x:v>Samusik 06</x:v>
      </x:c>
      <x:c r="C83" s="20" t="str">
        <x:v>kNN-DBSCAN</x:v>
      </x:c>
      <x:c r="D83" s="34" t="str">
        <x:v>ok</x:v>
      </x:c>
      <x:c r="E83" s="20" t="str">
        <x:v>cytometry__samusik_06__kNN-DBSCAN__42__97a6d1e91a7a</x:v>
      </x:c>
      <x:c r="F83" s="24" t="n">
        <x:v>46250.9827380787</x:v>
      </x:c>
    </x:row>
    <x:row r="84">
      <x:c r="A84" s="20" t="n">
        <x:v>80</x:v>
      </x:c>
      <x:c r="B84" s="20" t="str">
        <x:v>Samusik 06</x:v>
      </x:c>
      <x:c r="C84" s="20" t="str">
        <x:v>kNN+Leiden</x:v>
      </x:c>
      <x:c r="D84" s="34" t="str">
        <x:v>ok</x:v>
      </x:c>
      <x:c r="E84" s="20" t="str">
        <x:v>cytometry__samusik_06__kNN+Leiden__42__00faf1c45256</x:v>
      </x:c>
      <x:c r="F84" s="24" t="n">
        <x:v>46250.98308799769</x:v>
      </x:c>
    </x:row>
    <x:row r="85">
      <x:c r="A85" s="20" t="n">
        <x:v>81</x:v>
      </x:c>
      <x:c r="B85" s="20" t="str">
        <x:v>Samusik 06</x:v>
      </x:c>
      <x:c r="C85" s="20" t="str">
        <x:v>StrataSCAN</x:v>
      </x:c>
      <x:c r="D85" s="34" t="str">
        <x:v>ok</x:v>
      </x:c>
      <x:c r="E85" s="20" t="str">
        <x:v>cytometry__samusik_06__StrataSCAN__42__981ca08e7408</x:v>
      </x:c>
      <x:c r="F85" s="24" t="n">
        <x:v>46250.98327804398</x:v>
      </x:c>
    </x:row>
    <x:row r="86">
      <x:c r="A86" s="20" t="n">
        <x:v>82</x:v>
      </x:c>
      <x:c r="B86" s="20" t="str">
        <x:v>Samusik 07</x:v>
      </x:c>
      <x:c r="C86" s="20" t="str">
        <x:v>DBSCAN</x:v>
      </x:c>
      <x:c r="D86" s="34" t="str">
        <x:v>ok</x:v>
      </x:c>
      <x:c r="E86" s="20" t="str">
        <x:v>cytometry__samusik_07__DBSCAN__42__657c4ed71f34</x:v>
      </x:c>
      <x:c r="F86" s="24" t="n">
        <x:v>46250.983853125</x:v>
      </x:c>
    </x:row>
    <x:row r="87">
      <x:c r="A87" s="20" t="n">
        <x:v>83</x:v>
      </x:c>
      <x:c r="B87" s="20" t="str">
        <x:v>Samusik 07</x:v>
      </x:c>
      <x:c r="C87" s="20" t="str">
        <x:v>HDBSCAN</x:v>
      </x:c>
      <x:c r="D87" s="34" t="str">
        <x:v>ok</x:v>
      </x:c>
      <x:c r="E87" s="20" t="str">
        <x:v>cytometry__samusik_07__HDBSCAN__42__c7e8705ef55c</x:v>
      </x:c>
      <x:c r="F87" s="24" t="n">
        <x:v>46250.997458645834</x:v>
      </x:c>
    </x:row>
    <x:row r="88">
      <x:c r="A88" s="20" t="n">
        <x:v>84</x:v>
      </x:c>
      <x:c r="B88" s="20" t="str">
        <x:v>Samusik 07</x:v>
      </x:c>
      <x:c r="C88" s="20" t="str">
        <x:v>OPTICS</x:v>
      </x:c>
      <x:c r="D88" s="34" t="str">
        <x:v>ok</x:v>
      </x:c>
      <x:c r="E88" s="20" t="str">
        <x:v>cytometry__samusik_07__OPTICS__42__d05e681ec050</x:v>
      </x:c>
      <x:c r="F88" s="24" t="n">
        <x:v>46250.99900769676</x:v>
      </x:c>
    </x:row>
    <x:row r="89">
      <x:c r="A89" s="20" t="n">
        <x:v>85</x:v>
      </x:c>
      <x:c r="B89" s="20" t="str">
        <x:v>Samusik 07</x:v>
      </x:c>
      <x:c r="C89" s="20" t="str">
        <x:v>SNN-DBSCAN</x:v>
      </x:c>
      <x:c r="D89" s="34" t="str">
        <x:v>ok</x:v>
      </x:c>
      <x:c r="E89" s="20" t="str">
        <x:v>cytometry__samusik_07__SNN-DBSCAN__42__f1b45faffede</x:v>
      </x:c>
      <x:c r="F89" s="24" t="n">
        <x:v>46250.999176087964</x:v>
      </x:c>
    </x:row>
    <x:row r="90">
      <x:c r="A90" s="20" t="n">
        <x:v>86</x:v>
      </x:c>
      <x:c r="B90" s="20" t="str">
        <x:v>Samusik 07</x:v>
      </x:c>
      <x:c r="C90" s="20" t="str">
        <x:v>VDBSCAN-2007</x:v>
      </x:c>
      <x:c r="D90" s="34" t="str">
        <x:v>ok</x:v>
      </x:c>
      <x:c r="E90" s="20" t="str">
        <x:v>cytometry__samusik_07__VDBSCAN-2007__42__76dc602446e7</x:v>
      </x:c>
      <x:c r="F90" s="24" t="n">
        <x:v>46251.00045378472</x:v>
      </x:c>
    </x:row>
    <x:row r="91">
      <x:c r="A91" s="20" t="n">
        <x:v>87</x:v>
      </x:c>
      <x:c r="B91" s="20" t="str">
        <x:v>Samusik 07</x:v>
      </x:c>
      <x:c r="C91" s="20" t="str">
        <x:v>AMD-DBSCAN</x:v>
      </x:c>
      <x:c r="D91" s="35" t="str">
        <x:v>error</x:v>
      </x:c>
      <x:c r="E91" s="20" t="str">
        <x:v>cytometry__samusik_07__AMD-DBSCAN__42__5704a12a4a75</x:v>
      </x:c>
      <x:c r="F91" s="24" t="n">
        <x:v>46251.00050689815</x:v>
      </x:c>
    </x:row>
    <x:row r="92">
      <x:c r="A92" s="20" t="n">
        <x:v>88</x:v>
      </x:c>
      <x:c r="B92" s="20" t="str">
        <x:v>Samusik 07</x:v>
      </x:c>
      <x:c r="C92" s="20" t="str">
        <x:v>kNN-DBSCAN</x:v>
      </x:c>
      <x:c r="D92" s="34" t="str">
        <x:v>ok</x:v>
      </x:c>
      <x:c r="E92" s="20" t="str">
        <x:v>cytometry__samusik_07__kNN-DBSCAN__42__6881f61b4d2e</x:v>
      </x:c>
      <x:c r="F92" s="24" t="n">
        <x:v>46251.00064275463</x:v>
      </x:c>
    </x:row>
    <x:row r="93">
      <x:c r="A93" s="20" t="n">
        <x:v>89</x:v>
      </x:c>
      <x:c r="B93" s="20" t="str">
        <x:v>Samusik 07</x:v>
      </x:c>
      <x:c r="C93" s="20" t="str">
        <x:v>kNN+Leiden</x:v>
      </x:c>
      <x:c r="D93" s="34" t="str">
        <x:v>ok</x:v>
      </x:c>
      <x:c r="E93" s="20" t="str">
        <x:v>cytometry__samusik_07__kNN+Leiden__42__131a07a2ffd9</x:v>
      </x:c>
      <x:c r="F93" s="24" t="n">
        <x:v>46251.001161875</x:v>
      </x:c>
    </x:row>
    <x:row r="94">
      <x:c r="A94" s="20" t="n">
        <x:v>90</x:v>
      </x:c>
      <x:c r="B94" s="20" t="str">
        <x:v>Samusik 07</x:v>
      </x:c>
      <x:c r="C94" s="20" t="str">
        <x:v>StrataSCAN</x:v>
      </x:c>
      <x:c r="D94" s="34" t="str">
        <x:v>ok</x:v>
      </x:c>
      <x:c r="E94" s="20" t="str">
        <x:v>cytometry__samusik_07__StrataSCAN__42__47726a37d60b</x:v>
      </x:c>
      <x:c r="F94" s="24" t="n">
        <x:v>46251.00137928241</x:v>
      </x:c>
    </x:row>
    <x:row r="95">
      <x:c r="A95" s="20" t="n">
        <x:v>91</x:v>
      </x:c>
      <x:c r="B95" s="20" t="str">
        <x:v>Samusik 08</x:v>
      </x:c>
      <x:c r="C95" s="20" t="str">
        <x:v>DBSCAN</x:v>
      </x:c>
      <x:c r="D95" s="34" t="str">
        <x:v>ok</x:v>
      </x:c>
      <x:c r="E95" s="20" t="str">
        <x:v>cytometry__samusik_08__DBSCAN__42__10d0281716b0</x:v>
      </x:c>
      <x:c r="F95" s="24" t="n">
        <x:v>46251.00183120371</x:v>
      </x:c>
    </x:row>
    <x:row r="96">
      <x:c r="A96" s="20" t="n">
        <x:v>92</x:v>
      </x:c>
      <x:c r="B96" s="20" t="str">
        <x:v>Samusik 08</x:v>
      </x:c>
      <x:c r="C96" s="20" t="str">
        <x:v>HDBSCAN</x:v>
      </x:c>
      <x:c r="D96" s="33" t="str">
        <x:v>running (inferred)</x:v>
      </x:c>
      <x:c r="E96" s="20" t="str">
        <x:v>cytometry__samusik_08__HDBSCAN__42__ba8a0ae92ad5</x:v>
      </x:c>
      <x:c r="F96" s="24"/>
    </x:row>
    <x:row r="97">
      <x:c r="A97" s="20" t="n">
        <x:v>93</x:v>
      </x:c>
      <x:c r="B97" s="20" t="str">
        <x:v>Samusik 08</x:v>
      </x:c>
      <x:c r="C97" s="20" t="str">
        <x:v>OPTICS</x:v>
      </x:c>
      <x:c r="D97" s="36" t="str">
        <x:v>pending</x:v>
      </x:c>
      <x:c r="E97" s="20" t="str">
        <x:v>cytometry__samusik_08__OPTICS__42__c738cd681a68</x:v>
      </x:c>
      <x:c r="F97" s="24"/>
    </x:row>
    <x:row r="98">
      <x:c r="A98" s="20" t="n">
        <x:v>94</x:v>
      </x:c>
      <x:c r="B98" s="20" t="str">
        <x:v>Samusik 08</x:v>
      </x:c>
      <x:c r="C98" s="20" t="str">
        <x:v>SNN-DBSCAN</x:v>
      </x:c>
      <x:c r="D98" s="36" t="str">
        <x:v>pending</x:v>
      </x:c>
      <x:c r="E98" s="20" t="str">
        <x:v>cytometry__samusik_08__SNN-DBSCAN__42__91f9d3910a84</x:v>
      </x:c>
      <x:c r="F98" s="24"/>
    </x:row>
    <x:row r="99">
      <x:c r="A99" s="20" t="n">
        <x:v>95</x:v>
      </x:c>
      <x:c r="B99" s="20" t="str">
        <x:v>Samusik 08</x:v>
      </x:c>
      <x:c r="C99" s="20" t="str">
        <x:v>VDBSCAN-2007</x:v>
      </x:c>
      <x:c r="D99" s="36" t="str">
        <x:v>pending</x:v>
      </x:c>
      <x:c r="E99" s="20" t="str">
        <x:v>cytometry__samusik_08__VDBSCAN-2007__42__15ea29453ab5</x:v>
      </x:c>
      <x:c r="F99" s="24"/>
    </x:row>
    <x:row r="100">
      <x:c r="A100" s="20" t="n">
        <x:v>96</x:v>
      </x:c>
      <x:c r="B100" s="20" t="str">
        <x:v>Samusik 08</x:v>
      </x:c>
      <x:c r="C100" s="20" t="str">
        <x:v>AMD-DBSCAN</x:v>
      </x:c>
      <x:c r="D100" s="36" t="str">
        <x:v>pending</x:v>
      </x:c>
      <x:c r="E100" s="20" t="str">
        <x:v>cytometry__samusik_08__AMD-DBSCAN__42__43520dcb6409</x:v>
      </x:c>
      <x:c r="F100" s="24"/>
    </x:row>
    <x:row r="101">
      <x:c r="A101" s="20" t="n">
        <x:v>97</x:v>
      </x:c>
      <x:c r="B101" s="20" t="str">
        <x:v>Samusik 08</x:v>
      </x:c>
      <x:c r="C101" s="20" t="str">
        <x:v>kNN-DBSCAN</x:v>
      </x:c>
      <x:c r="D101" s="36" t="str">
        <x:v>pending</x:v>
      </x:c>
      <x:c r="E101" s="20" t="str">
        <x:v>cytometry__samusik_08__kNN-DBSCAN__42__fdfe252ad571</x:v>
      </x:c>
      <x:c r="F101" s="24"/>
    </x:row>
    <x:row r="102">
      <x:c r="A102" s="20" t="n">
        <x:v>98</x:v>
      </x:c>
      <x:c r="B102" s="20" t="str">
        <x:v>Samusik 08</x:v>
      </x:c>
      <x:c r="C102" s="20" t="str">
        <x:v>kNN+Leiden</x:v>
      </x:c>
      <x:c r="D102" s="36" t="str">
        <x:v>pending</x:v>
      </x:c>
      <x:c r="E102" s="20" t="str">
        <x:v>cytometry__samusik_08__kNN+Leiden__42__a4ff542fea0d</x:v>
      </x:c>
      <x:c r="F102" s="24"/>
    </x:row>
    <x:row r="103">
      <x:c r="A103" s="20" t="n">
        <x:v>99</x:v>
      </x:c>
      <x:c r="B103" s="20" t="str">
        <x:v>Samusik 08</x:v>
      </x:c>
      <x:c r="C103" s="20" t="str">
        <x:v>StrataSCAN</x:v>
      </x:c>
      <x:c r="D103" s="36" t="str">
        <x:v>pending</x:v>
      </x:c>
      <x:c r="E103" s="20" t="str">
        <x:v>cytometry__samusik_08__StrataSCAN__42__3eb79d725181</x:v>
      </x:c>
      <x:c r="F103" s="24"/>
    </x:row>
    <x:row r="104">
      <x:c r="A104" s="20" t="n">
        <x:v>100</x:v>
      </x:c>
      <x:c r="B104" s="20" t="str">
        <x:v>Samusik 09</x:v>
      </x:c>
      <x:c r="C104" s="20" t="str">
        <x:v>DBSCAN</x:v>
      </x:c>
      <x:c r="D104" s="36" t="str">
        <x:v>pending</x:v>
      </x:c>
      <x:c r="E104" s="20" t="str">
        <x:v>cytometry__samusik_09__DBSCAN__42__05f11db160e0</x:v>
      </x:c>
      <x:c r="F104" s="24"/>
    </x:row>
    <x:row r="105">
      <x:c r="A105" s="20" t="n">
        <x:v>101</x:v>
      </x:c>
      <x:c r="B105" s="20" t="str">
        <x:v>Samusik 09</x:v>
      </x:c>
      <x:c r="C105" s="20" t="str">
        <x:v>HDBSCAN</x:v>
      </x:c>
      <x:c r="D105" s="36" t="str">
        <x:v>pending</x:v>
      </x:c>
      <x:c r="E105" s="20" t="str">
        <x:v>cytometry__samusik_09__HDBSCAN__42__e5527a34e295</x:v>
      </x:c>
      <x:c r="F105" s="24"/>
    </x:row>
    <x:row r="106">
      <x:c r="A106" s="20" t="n">
        <x:v>102</x:v>
      </x:c>
      <x:c r="B106" s="20" t="str">
        <x:v>Samusik 09</x:v>
      </x:c>
      <x:c r="C106" s="20" t="str">
        <x:v>OPTICS</x:v>
      </x:c>
      <x:c r="D106" s="36" t="str">
        <x:v>pending</x:v>
      </x:c>
      <x:c r="E106" s="20" t="str">
        <x:v>cytometry__samusik_09__OPTICS__42__3932c874dd2d</x:v>
      </x:c>
      <x:c r="F106" s="24"/>
    </x:row>
    <x:row r="107">
      <x:c r="A107" s="20" t="n">
        <x:v>103</x:v>
      </x:c>
      <x:c r="B107" s="20" t="str">
        <x:v>Samusik 09</x:v>
      </x:c>
      <x:c r="C107" s="20" t="str">
        <x:v>SNN-DBSCAN</x:v>
      </x:c>
      <x:c r="D107" s="36" t="str">
        <x:v>pending</x:v>
      </x:c>
      <x:c r="E107" s="20" t="str">
        <x:v>cytometry__samusik_09__SNN-DBSCAN__42__98a57e838638</x:v>
      </x:c>
      <x:c r="F107" s="24"/>
    </x:row>
    <x:row r="108">
      <x:c r="A108" s="20" t="n">
        <x:v>104</x:v>
      </x:c>
      <x:c r="B108" s="20" t="str">
        <x:v>Samusik 09</x:v>
      </x:c>
      <x:c r="C108" s="20" t="str">
        <x:v>VDBSCAN-2007</x:v>
      </x:c>
      <x:c r="D108" s="36" t="str">
        <x:v>pending</x:v>
      </x:c>
      <x:c r="E108" s="20" t="str">
        <x:v>cytometry__samusik_09__VDBSCAN-2007__42__fd070da36d60</x:v>
      </x:c>
      <x:c r="F108" s="24"/>
    </x:row>
    <x:row r="109">
      <x:c r="A109" s="20" t="n">
        <x:v>105</x:v>
      </x:c>
      <x:c r="B109" s="20" t="str">
        <x:v>Samusik 09</x:v>
      </x:c>
      <x:c r="C109" s="20" t="str">
        <x:v>AMD-DBSCAN</x:v>
      </x:c>
      <x:c r="D109" s="36" t="str">
        <x:v>pending</x:v>
      </x:c>
      <x:c r="E109" s="20" t="str">
        <x:v>cytometry__samusik_09__AMD-DBSCAN__42__fc468367337d</x:v>
      </x:c>
      <x:c r="F109" s="24"/>
    </x:row>
    <x:row r="110">
      <x:c r="A110" s="20" t="n">
        <x:v>106</x:v>
      </x:c>
      <x:c r="B110" s="20" t="str">
        <x:v>Samusik 09</x:v>
      </x:c>
      <x:c r="C110" s="20" t="str">
        <x:v>kNN-DBSCAN</x:v>
      </x:c>
      <x:c r="D110" s="36" t="str">
        <x:v>pending</x:v>
      </x:c>
      <x:c r="E110" s="20" t="str">
        <x:v>cytometry__samusik_09__kNN-DBSCAN__42__37a6890c09bd</x:v>
      </x:c>
      <x:c r="F110" s="24"/>
    </x:row>
    <x:row r="111">
      <x:c r="A111" s="20" t="n">
        <x:v>107</x:v>
      </x:c>
      <x:c r="B111" s="20" t="str">
        <x:v>Samusik 09</x:v>
      </x:c>
      <x:c r="C111" s="20" t="str">
        <x:v>kNN+Leiden</x:v>
      </x:c>
      <x:c r="D111" s="36" t="str">
        <x:v>pending</x:v>
      </x:c>
      <x:c r="E111" s="20" t="str">
        <x:v>cytometry__samusik_09__kNN+Leiden__42__8af17775def3</x:v>
      </x:c>
      <x:c r="F111" s="24"/>
    </x:row>
    <x:row r="112">
      <x:c r="A112" s="20" t="n">
        <x:v>108</x:v>
      </x:c>
      <x:c r="B112" s="20" t="str">
        <x:v>Samusik 09</x:v>
      </x:c>
      <x:c r="C112" s="20" t="str">
        <x:v>StrataSCAN</x:v>
      </x:c>
      <x:c r="D112" s="36" t="str">
        <x:v>pending</x:v>
      </x:c>
      <x:c r="E112" s="20" t="str">
        <x:v>cytometry__samusik_09__StrataSCAN__42__6fb42204004b</x:v>
      </x:c>
      <x:c r="F112" s="24"/>
    </x:row>
    <x:row r="113">
      <x:c r="A113" s="20" t="n">
        <x:v>109</x:v>
      </x:c>
      <x:c r="B113" s="20" t="str">
        <x:v>Samusik 10</x:v>
      </x:c>
      <x:c r="C113" s="20" t="str">
        <x:v>DBSCAN</x:v>
      </x:c>
      <x:c r="D113" s="36" t="str">
        <x:v>pending</x:v>
      </x:c>
      <x:c r="E113" s="20" t="str">
        <x:v>cytometry__samusik_10__DBSCAN__42__4931497b9625</x:v>
      </x:c>
      <x:c r="F113" s="24"/>
    </x:row>
    <x:row r="114">
      <x:c r="A114" s="20" t="n">
        <x:v>110</x:v>
      </x:c>
      <x:c r="B114" s="20" t="str">
        <x:v>Samusik 10</x:v>
      </x:c>
      <x:c r="C114" s="20" t="str">
        <x:v>HDBSCAN</x:v>
      </x:c>
      <x:c r="D114" s="36" t="str">
        <x:v>pending</x:v>
      </x:c>
      <x:c r="E114" s="20" t="str">
        <x:v>cytometry__samusik_10__HDBSCAN__42__35ee781bdee4</x:v>
      </x:c>
      <x:c r="F114" s="24"/>
    </x:row>
    <x:row r="115">
      <x:c r="A115" s="20" t="n">
        <x:v>111</x:v>
      </x:c>
      <x:c r="B115" s="20" t="str">
        <x:v>Samusik 10</x:v>
      </x:c>
      <x:c r="C115" s="20" t="str">
        <x:v>OPTICS</x:v>
      </x:c>
      <x:c r="D115" s="36" t="str">
        <x:v>pending</x:v>
      </x:c>
      <x:c r="E115" s="20" t="str">
        <x:v>cytometry__samusik_10__OPTICS__42__382f7494cf18</x:v>
      </x:c>
      <x:c r="F115" s="24"/>
    </x:row>
    <x:row r="116">
      <x:c r="A116" s="20" t="n">
        <x:v>112</x:v>
      </x:c>
      <x:c r="B116" s="20" t="str">
        <x:v>Samusik 10</x:v>
      </x:c>
      <x:c r="C116" s="20" t="str">
        <x:v>SNN-DBSCAN</x:v>
      </x:c>
      <x:c r="D116" s="36" t="str">
        <x:v>pending</x:v>
      </x:c>
      <x:c r="E116" s="20" t="str">
        <x:v>cytometry__samusik_10__SNN-DBSCAN__42__0afb016293f6</x:v>
      </x:c>
      <x:c r="F116" s="24"/>
    </x:row>
    <x:row r="117">
      <x:c r="A117" s="20" t="n">
        <x:v>113</x:v>
      </x:c>
      <x:c r="B117" s="20" t="str">
        <x:v>Samusik 10</x:v>
      </x:c>
      <x:c r="C117" s="20" t="str">
        <x:v>VDBSCAN-2007</x:v>
      </x:c>
      <x:c r="D117" s="36" t="str">
        <x:v>pending</x:v>
      </x:c>
      <x:c r="E117" s="20" t="str">
        <x:v>cytometry__samusik_10__VDBSCAN-2007__42__a2309fb75c03</x:v>
      </x:c>
      <x:c r="F117" s="24"/>
    </x:row>
    <x:row r="118">
      <x:c r="A118" s="20" t="n">
        <x:v>114</x:v>
      </x:c>
      <x:c r="B118" s="20" t="str">
        <x:v>Samusik 10</x:v>
      </x:c>
      <x:c r="C118" s="20" t="str">
        <x:v>AMD-DBSCAN</x:v>
      </x:c>
      <x:c r="D118" s="36" t="str">
        <x:v>pending</x:v>
      </x:c>
      <x:c r="E118" s="20" t="str">
        <x:v>cytometry__samusik_10__AMD-DBSCAN__42__cc6f84e3b235</x:v>
      </x:c>
      <x:c r="F118" s="24"/>
    </x:row>
    <x:row r="119">
      <x:c r="A119" s="20" t="n">
        <x:v>115</x:v>
      </x:c>
      <x:c r="B119" s="20" t="str">
        <x:v>Samusik 10</x:v>
      </x:c>
      <x:c r="C119" s="20" t="str">
        <x:v>kNN-DBSCAN</x:v>
      </x:c>
      <x:c r="D119" s="36" t="str">
        <x:v>pending</x:v>
      </x:c>
      <x:c r="E119" s="20" t="str">
        <x:v>cytometry__samusik_10__kNN-DBSCAN__42__72b57e42e596</x:v>
      </x:c>
      <x:c r="F119" s="24"/>
    </x:row>
    <x:row r="120">
      <x:c r="A120" s="20" t="n">
        <x:v>116</x:v>
      </x:c>
      <x:c r="B120" s="20" t="str">
        <x:v>Samusik 10</x:v>
      </x:c>
      <x:c r="C120" s="20" t="str">
        <x:v>kNN+Leiden</x:v>
      </x:c>
      <x:c r="D120" s="36" t="str">
        <x:v>pending</x:v>
      </x:c>
      <x:c r="E120" s="20" t="str">
        <x:v>cytometry__samusik_10__kNN+Leiden__42__a9651540ace9</x:v>
      </x:c>
      <x:c r="F120" s="24"/>
    </x:row>
    <x:row r="121">
      <x:c r="A121" s="25" t="n">
        <x:v>117</x:v>
      </x:c>
      <x:c r="B121" s="25" t="str">
        <x:v>Samusik 10</x:v>
      </x:c>
      <x:c r="C121" s="25" t="str">
        <x:v>StrataSCAN</x:v>
      </x:c>
      <x:c r="D121" s="79" t="str">
        <x:v>pending</x:v>
      </x:c>
      <x:c r="E121" s="25" t="str">
        <x:v>cytometry__samusik_10__StrataSCAN__42__944b67e47f6b</x:v>
      </x:c>
      <x:c r="F121" s="29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fb7680b64624ca0"/>
  </x:tableParts>
</x:worksheet>
</file>